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tics\Excel\"/>
    </mc:Choice>
  </mc:AlternateContent>
  <xr:revisionPtr revIDLastSave="0" documentId="13_ncr:1_{2DDB17C3-E771-4327-8DF7-635BB08141E6}" xr6:coauthVersionLast="37" xr6:coauthVersionMax="37" xr10:uidLastSave="{00000000-0000-0000-0000-000000000000}"/>
  <bookViews>
    <workbookView xWindow="0" yWindow="0" windowWidth="23040" windowHeight="9588" activeTab="1" xr2:uid="{00000000-000D-0000-FFFF-FFFF00000000}"/>
  </bookViews>
  <sheets>
    <sheet name="Total Sales" sheetId="3" r:id="rId1"/>
    <sheet name="Orders" sheetId="1" r:id="rId2"/>
    <sheet name="Product Reference" sheetId="2" r:id="rId3"/>
  </sheets>
  <definedNames>
    <definedName name="_xlnm._FilterDatabase" localSheetId="1" hidden="1">Orders!$A$1:$K$61</definedName>
  </definedName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</calcChain>
</file>

<file path=xl/sharedStrings.xml><?xml version="1.0" encoding="utf-8"?>
<sst xmlns="http://schemas.openxmlformats.org/spreadsheetml/2006/main" count="342" uniqueCount="102">
  <si>
    <t>Order ID</t>
  </si>
  <si>
    <t>Order Date</t>
  </si>
  <si>
    <t>Product Code</t>
  </si>
  <si>
    <t>Product Name</t>
  </si>
  <si>
    <t>Region</t>
  </si>
  <si>
    <t>Sales Rep</t>
  </si>
  <si>
    <t>Quantity</t>
  </si>
  <si>
    <t>Unit Price</t>
  </si>
  <si>
    <t>ORD1001</t>
  </si>
  <si>
    <t>P001</t>
  </si>
  <si>
    <t>Wireless Mouse</t>
  </si>
  <si>
    <t>North</t>
  </si>
  <si>
    <t>ORD1002</t>
  </si>
  <si>
    <t>webcam hd</t>
  </si>
  <si>
    <t>ORD1003</t>
  </si>
  <si>
    <t>Karan Mehta</t>
  </si>
  <si>
    <t>ORD1004</t>
  </si>
  <si>
    <t>P005</t>
  </si>
  <si>
    <t>Laptop Stand</t>
  </si>
  <si>
    <t>South</t>
  </si>
  <si>
    <t>ORD1005</t>
  </si>
  <si>
    <t>P003</t>
  </si>
  <si>
    <t>USB-C Hub</t>
  </si>
  <si>
    <t>ORD1006</t>
  </si>
  <si>
    <t>P002</t>
  </si>
  <si>
    <t>Bluetooth Keyboard</t>
  </si>
  <si>
    <t>East</t>
  </si>
  <si>
    <t>Anita Rao</t>
  </si>
  <si>
    <t>ORD1007</t>
  </si>
  <si>
    <t>P007</t>
  </si>
  <si>
    <t>Desk Lamp</t>
  </si>
  <si>
    <t>Divya Nair</t>
  </si>
  <si>
    <t>ORD1008</t>
  </si>
  <si>
    <t>Ravi Kumar</t>
  </si>
  <si>
    <t>ORD1009</t>
  </si>
  <si>
    <t>ORD1010</t>
  </si>
  <si>
    <t>Sneha Iyer</t>
  </si>
  <si>
    <t>ORD1011</t>
  </si>
  <si>
    <t>P004</t>
  </si>
  <si>
    <t>27in Monitor</t>
  </si>
  <si>
    <t>ORD1012</t>
  </si>
  <si>
    <t>ORD1013</t>
  </si>
  <si>
    <t>ORD1014</t>
  </si>
  <si>
    <t>ORD1015</t>
  </si>
  <si>
    <t>ORD1016</t>
  </si>
  <si>
    <t>ORD1017</t>
  </si>
  <si>
    <t>West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</si>
  <si>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</si>
  <si>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</si>
  <si>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</si>
  <si>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</si>
  <si>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</si>
  <si>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</si>
  <si>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</si>
  <si>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</si>
  <si>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</si>
  <si>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</si>
  <si>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</si>
  <si>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</si>
  <si>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</si>
  <si>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</si>
  <si>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</si>
  <si>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</si>
  <si>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</si>
  <si>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</si>
  <si>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</si>
  <si>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</si>
  <si>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</si>
  <si>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</si>
  <si>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</si>
  <si>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</si>
  <si>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</si>
  <si>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</si>
  <si>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</si>
  <si>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</si>
  <si>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</si>
  <si>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</si>
  <si>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</si>
  <si>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</si>
  <si>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</si>
  <si>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</si>
  <si>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</si>
  <si>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</si>
  <si>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</si>
  <si>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</si>
  <si>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</si>
  <si>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</si>
  <si>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</si>
  <si>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</si>
  <si>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</si>
  <si>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Category</t>
  </si>
  <si>
    <t>Standard Cost</t>
  </si>
  <si>
    <t>Accessories</t>
  </si>
  <si>
    <t>Displays</t>
  </si>
  <si>
    <t>P006</t>
  </si>
  <si>
    <t>Electronics</t>
  </si>
  <si>
    <t>Office</t>
  </si>
  <si>
    <t>Unknown</t>
  </si>
  <si>
    <t>Total Sales</t>
  </si>
  <si>
    <t>Sum of Total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</si>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</sst>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164" fontId="1" fillId="2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4472C4"/>
          <bgColor rgb="FF4472C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[client_sales_data - Copy.xlsx]Total Sales!PivotTable1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'Total Sales'!$B$4:$B$8</c:f>
              <c:numCache>
                <c:formatCode>General</c:formatCode>
                <c:ptCount val="4"/>
                <c:pt idx="0">
                  <c:v>1986.1100000000001</c:v>
                </c:pt>
                <c:pt idx="1">
                  <c:v>5994.22</c:v>
                </c:pt>
                <c:pt idx="2">
                  <c:v>6444.2199999999993</c:v>
                </c:pt>
                <c:pt idx="3">
                  <c:v>10780.83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7-4BE8-8057-F70DC44068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7337536"/>
        <c:axId val="403068776"/>
      </c:barChart>
      <c:catAx>
        <c:axId val="347337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068776"/>
        <c:crosses val="autoZero"/>
        <c:auto val="1"/>
        <c:lblAlgn val="ctr"/>
        <c:lblOffset val="100"/>
        <c:noMultiLvlLbl val="0"/>
      </c:catAx>
      <c:valAx>
        <c:axId val="4030687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4733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[client_sales_data - Copy.xlsx]Total Sales!PivotTable2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2.777777777777778E-2"/>
              <c:y val="-0.143518518518518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8.3333333333333332E-3"/>
              <c:y val="-7.87037037037036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5.0925337632079971E-17"/>
              <c:y val="-4.62962962962963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1.6666666666666566E-2"/>
              <c:y val="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'Total Sales'!$B$12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CF99-45A2-8659-D1C5B75536D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F99-45A2-8659-D1C5B75536DF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CF99-45A2-8659-D1C5B75536DF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F99-45A2-8659-D1C5B75536DF}"/>
              </c:ext>
            </c:extLst>
          </c:dPt>
          <c:dLbls>
            <c:dLbl>
              <c:idx val="0"/>
              <c:layout>
                <c:manualLayout>
                  <c:x val="1.6666666666666566E-2"/>
                  <c:y val="6.018518518518518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F99-45A2-8659-D1C5B75536DF}"/>
                </c:ext>
              </c:extLst>
            </c:dLbl>
            <c:dLbl>
              <c:idx val="1"/>
              <c:layout>
                <c:manualLayout>
                  <c:x val="-2.777777777777778E-2"/>
                  <c:y val="-0.1435185185185185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99-45A2-8659-D1C5B75536DF}"/>
                </c:ext>
              </c:extLst>
            </c:dLbl>
            <c:dLbl>
              <c:idx val="2"/>
              <c:layout>
                <c:manualLayout>
                  <c:x val="-8.3333333333333332E-3"/>
                  <c:y val="-7.870370370370366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99-45A2-8659-D1C5B75536DF}"/>
                </c:ext>
              </c:extLst>
            </c:dLbl>
            <c:dLbl>
              <c:idx val="3"/>
              <c:layout>
                <c:manualLayout>
                  <c:x val="-5.0925337632079971E-17"/>
                  <c:y val="-4.629629629629631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99-45A2-8659-D1C5B75536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Sales'!$A$13:$A$17</c:f>
              <c:strCache>
                <c:ptCount val="4"/>
                <c:pt idx="0">
                  <c:v>Accessories</c:v>
                </c:pt>
                <c:pt idx="1">
                  <c:v>Displays</c:v>
                </c:pt>
                <c:pt idx="2">
                  <c:v>Electronics</c:v>
                </c:pt>
                <c:pt idx="3">
                  <c:v>Office</c:v>
                </c:pt>
              </c:strCache>
            </c:strRef>
          </c:cat>
          <c:val>
            <c:numRef>
              <c:f>'Total Sales'!$B$13:$B$17</c:f>
              <c:numCache>
                <c:formatCode>General</c:formatCode>
                <c:ptCount val="4"/>
                <c:pt idx="0">
                  <c:v>18396.8</c:v>
                </c:pt>
                <c:pt idx="1">
                  <c:v>1077.77</c:v>
                </c:pt>
                <c:pt idx="2">
                  <c:v>2519.1600000000003</c:v>
                </c:pt>
                <c:pt idx="3">
                  <c:v>3211.65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9-45A2-8659-D1C5B75536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0</xdr:row>
      <xdr:rowOff>76200</xdr:rowOff>
    </xdr:from>
    <xdr:to>
      <xdr:col>10</xdr:col>
      <xdr:colOff>213360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ABEF1-E126-45DD-8048-C650AC76A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441960</xdr:colOff>
      <xdr:row>13</xdr:row>
      <xdr:rowOff>68580</xdr:rowOff>
    </xdr:from>
    <xdr:to>
      <xdr:col>18</xdr:col>
      <xdr:colOff>160020</xdr:colOff>
      <xdr:row>28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59195F-9EF5-4775-AADC-ECCE3B2E1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63.580484837963" createdVersion="6" refreshedVersion="6" minRefreshableVersion="3" recordCount="60" xr:uid="{B2425799-5825-4B8C-81A7-78EF21D7EA97}">
  <cacheSource type="worksheet">
    <worksheetSource ref="A1:K61" sheet="Orders"/>
  </cacheSource>
  <cacheFields count="11">
    <cacheField name="Order ID" numFmtId="0">
      <sharedItems/>
    </cacheField>
    <cacheField name="Order Date" numFmtId="164">
      <sharedItems containsSemiMixedTypes="0" containsNonDate="0" containsDate="1" containsString="0" minDate="2026-06-01T00:00:00" maxDate="2026-08-22T00:00:00"/>
    </cacheField>
    <cacheField name="Product Code" numFmtId="0">
      <sharedItems/>
    </cacheField>
    <cacheField name="Product Name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Sales Rep" numFmtId="0">
      <sharedItems/>
    </cacheField>
    <cacheField name="Quantity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minValue="9.74" maxValue="243.2"/>
    </cacheField>
    <cacheField name="Category" numFmtId="0">
      <sharedItems count="4">
        <s v="Accessories"/>
        <s v="Electronics"/>
        <s v="Office"/>
        <s v="Displays"/>
      </sharedItems>
    </cacheField>
    <cacheField name="Standard Cost" numFmtId="0">
      <sharedItems containsSemiMixedTypes="0" containsString="0" containsNumber="1" minValue="4.5" maxValue="130"/>
    </cacheField>
    <cacheField name="Total Sales" numFmtId="0">
      <sharedItems containsSemiMixedTypes="0" containsString="0" containsNumber="1" minValue="19.48" maxValue="2413.8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ORD1001"/>
    <d v="2026-08-21T00:00:00"/>
    <s v="P001"/>
    <s v="Wireless Mouse"/>
    <x v="0"/>
    <s v="Unknown"/>
    <n v="3"/>
    <n v="67.260000000000005"/>
    <x v="0"/>
    <n v="4.5"/>
    <n v="201.78000000000003"/>
  </r>
  <r>
    <s v="ORD1002"/>
    <d v="2026-06-18T00:00:00"/>
    <s v="P006"/>
    <s v="webcam hd"/>
    <x v="0"/>
    <s v="Unknown"/>
    <n v="1"/>
    <n v="150.9"/>
    <x v="1"/>
    <n v="15"/>
    <n v="150.9"/>
  </r>
  <r>
    <s v="ORD1003"/>
    <d v="2026-06-05T00:00:00"/>
    <s v="P001"/>
    <s v="Wireless Mouse"/>
    <x v="0"/>
    <s v="Karan Mehta"/>
    <n v="2"/>
    <n v="130.30000000000001"/>
    <x v="0"/>
    <n v="4.5"/>
    <n v="260.60000000000002"/>
  </r>
  <r>
    <s v="ORD1004"/>
    <d v="2026-06-04T00:00:00"/>
    <s v="P005"/>
    <s v="Laptop Stand"/>
    <x v="1"/>
    <s v="Unknown"/>
    <n v="10"/>
    <n v="61.35"/>
    <x v="0"/>
    <n v="6"/>
    <n v="613.5"/>
  </r>
  <r>
    <s v="ORD1005"/>
    <d v="2026-08-15T00:00:00"/>
    <s v="P003"/>
    <s v="USB-C Hub"/>
    <x v="0"/>
    <s v="Karan Mehta"/>
    <n v="10"/>
    <n v="90.34"/>
    <x v="0"/>
    <n v="9"/>
    <n v="903.40000000000009"/>
  </r>
  <r>
    <s v="ORD1006"/>
    <d v="2026-06-20T00:00:00"/>
    <s v="P002"/>
    <s v="Bluetooth Keyboard"/>
    <x v="2"/>
    <s v="Anita Rao"/>
    <n v="1"/>
    <n v="99.94"/>
    <x v="0"/>
    <n v="12"/>
    <n v="99.94"/>
  </r>
  <r>
    <s v="ORD1007"/>
    <d v="2026-07-16T00:00:00"/>
    <s v="P007"/>
    <s v="Desk Lamp"/>
    <x v="2"/>
    <s v="Divya Nair"/>
    <n v="3"/>
    <n v="203.33"/>
    <x v="2"/>
    <n v="7"/>
    <n v="609.99"/>
  </r>
  <r>
    <s v="ORD1008"/>
    <d v="2026-07-29T00:00:00"/>
    <s v="P005"/>
    <s v="Laptop Stand"/>
    <x v="0"/>
    <s v="Ravi Kumar"/>
    <n v="1"/>
    <n v="141.59"/>
    <x v="0"/>
    <n v="6"/>
    <n v="141.59"/>
  </r>
  <r>
    <s v="ORD1009"/>
    <d v="2026-08-20T00:00:00"/>
    <s v="P005"/>
    <s v="Laptop Stand"/>
    <x v="2"/>
    <s v="Divya Nair"/>
    <n v="2"/>
    <n v="178.51"/>
    <x v="0"/>
    <n v="6"/>
    <n v="357.02"/>
  </r>
  <r>
    <s v="ORD1010"/>
    <d v="2026-06-06T00:00:00"/>
    <s v="P006"/>
    <s v="webcam hd"/>
    <x v="1"/>
    <s v="Sneha Iyer"/>
    <n v="1"/>
    <n v="214.99"/>
    <x v="1"/>
    <n v="15"/>
    <n v="214.99"/>
  </r>
  <r>
    <s v="ORD1011"/>
    <d v="2026-06-13T00:00:00"/>
    <s v="P004"/>
    <s v="27in Monitor"/>
    <x v="2"/>
    <s v="Ravi Kumar"/>
    <n v="5"/>
    <n v="47.36"/>
    <x v="3"/>
    <n v="130"/>
    <n v="236.8"/>
  </r>
  <r>
    <s v="ORD1012"/>
    <d v="2026-07-16T00:00:00"/>
    <s v="P002"/>
    <s v="Bluetooth Keyboard"/>
    <x v="1"/>
    <s v="Sneha Iyer"/>
    <n v="1"/>
    <n v="155.41"/>
    <x v="0"/>
    <n v="12"/>
    <n v="155.41"/>
  </r>
  <r>
    <s v="ORD1013"/>
    <d v="2026-06-22T00:00:00"/>
    <s v="P005"/>
    <s v="Laptop Stand"/>
    <x v="1"/>
    <s v="Karan Mehta"/>
    <n v="2"/>
    <n v="119.87"/>
    <x v="0"/>
    <n v="6"/>
    <n v="239.74"/>
  </r>
  <r>
    <s v="ORD1014"/>
    <d v="2026-07-05T00:00:00"/>
    <s v="P006"/>
    <s v="webcam hd"/>
    <x v="1"/>
    <s v="Divya Nair"/>
    <n v="2"/>
    <n v="173.68"/>
    <x v="1"/>
    <n v="15"/>
    <n v="347.36"/>
  </r>
  <r>
    <s v="ORD1015"/>
    <d v="2026-06-08T00:00:00"/>
    <s v="P002"/>
    <s v="Bluetooth Keyboard"/>
    <x v="0"/>
    <s v="Sneha Iyer"/>
    <n v="10"/>
    <n v="72.790000000000006"/>
    <x v="0"/>
    <n v="12"/>
    <n v="727.90000000000009"/>
  </r>
  <r>
    <s v="ORD1016"/>
    <d v="2026-06-28T00:00:00"/>
    <s v="P005"/>
    <s v="Laptop Stand"/>
    <x v="1"/>
    <s v="Sneha Iyer"/>
    <n v="2"/>
    <n v="166.62"/>
    <x v="0"/>
    <n v="6"/>
    <n v="333.24"/>
  </r>
  <r>
    <s v="ORD1017"/>
    <d v="2026-07-21T00:00:00"/>
    <s v="P006"/>
    <s v="webcam hd"/>
    <x v="3"/>
    <s v="Karan Mehta"/>
    <n v="3"/>
    <n v="41.79"/>
    <x v="1"/>
    <n v="15"/>
    <n v="125.37"/>
  </r>
  <r>
    <s v="ORD1018"/>
    <d v="2026-08-11T00:00:00"/>
    <s v="P005"/>
    <s v="Laptop Stand"/>
    <x v="2"/>
    <s v="Unknown"/>
    <n v="10"/>
    <n v="225.27"/>
    <x v="0"/>
    <n v="6"/>
    <n v="2252.7000000000003"/>
  </r>
  <r>
    <s v="ORD1019"/>
    <d v="2026-07-22T00:00:00"/>
    <s v="P003"/>
    <s v="USB-C Hub"/>
    <x v="1"/>
    <s v="Karan Mehta"/>
    <n v="3"/>
    <n v="30"/>
    <x v="0"/>
    <n v="9"/>
    <n v="90"/>
  </r>
  <r>
    <s v="ORD1020"/>
    <d v="2026-06-07T00:00:00"/>
    <s v="P007"/>
    <s v="Desk Lamp"/>
    <x v="0"/>
    <s v="Karan Mehta"/>
    <n v="3"/>
    <n v="199.68"/>
    <x v="2"/>
    <n v="7"/>
    <n v="599.04"/>
  </r>
  <r>
    <s v="ORD1021"/>
    <d v="2026-07-25T00:00:00"/>
    <s v="P005"/>
    <s v="Laptop Stand"/>
    <x v="0"/>
    <s v="Ravi Kumar"/>
    <n v="10"/>
    <n v="152.19999999999999"/>
    <x v="0"/>
    <n v="6"/>
    <n v="1522"/>
  </r>
  <r>
    <s v="ORD1022"/>
    <d v="2026-07-30T00:00:00"/>
    <s v="P005"/>
    <s v="Laptop Stand"/>
    <x v="2"/>
    <s v="Divya Nair"/>
    <n v="1"/>
    <n v="172.63"/>
    <x v="0"/>
    <n v="6"/>
    <n v="172.63"/>
  </r>
  <r>
    <s v="ORD1023"/>
    <d v="2026-06-15T00:00:00"/>
    <s v="P006"/>
    <s v="webcam hd"/>
    <x v="0"/>
    <s v="Sneha Iyer"/>
    <n v="5"/>
    <n v="35"/>
    <x v="1"/>
    <n v="15"/>
    <n v="175"/>
  </r>
  <r>
    <s v="ORD1024"/>
    <d v="2026-07-26T00:00:00"/>
    <s v="P002"/>
    <s v="Bluetooth Keyboard"/>
    <x v="3"/>
    <s v="Anita Rao"/>
    <n v="3"/>
    <n v="243.2"/>
    <x v="0"/>
    <n v="12"/>
    <n v="729.59999999999991"/>
  </r>
  <r>
    <s v="ORD1025"/>
    <d v="2026-06-23T00:00:00"/>
    <s v="P005"/>
    <s v="Laptop Stand"/>
    <x v="0"/>
    <s v="Unknown"/>
    <n v="3"/>
    <n v="211.68"/>
    <x v="0"/>
    <n v="6"/>
    <n v="635.04"/>
  </r>
  <r>
    <s v="ORD1026"/>
    <d v="2026-08-04T00:00:00"/>
    <s v="P005"/>
    <s v="Laptop Stand"/>
    <x v="1"/>
    <s v="Karan Mehta"/>
    <n v="5"/>
    <n v="192.53"/>
    <x v="0"/>
    <n v="6"/>
    <n v="962.65"/>
  </r>
  <r>
    <s v="ORD1027"/>
    <d v="2026-08-09T00:00:00"/>
    <s v="P007"/>
    <s v="Desk Lamp"/>
    <x v="0"/>
    <s v="Anita Rao"/>
    <n v="5"/>
    <n v="126.24"/>
    <x v="2"/>
    <n v="7"/>
    <n v="631.19999999999993"/>
  </r>
  <r>
    <s v="ORD1028"/>
    <d v="2026-06-15T00:00:00"/>
    <s v="P003"/>
    <s v="USB-C Hub"/>
    <x v="2"/>
    <s v="Karan Mehta"/>
    <n v="3"/>
    <n v="66.290000000000006"/>
    <x v="0"/>
    <n v="9"/>
    <n v="198.87"/>
  </r>
  <r>
    <s v="ORD1029"/>
    <d v="2026-08-12T00:00:00"/>
    <s v="P001"/>
    <s v="Wireless Mouse"/>
    <x v="0"/>
    <s v="Unknown"/>
    <n v="3"/>
    <n v="205.48"/>
    <x v="0"/>
    <n v="4.5"/>
    <n v="616.43999999999994"/>
  </r>
  <r>
    <s v="ORD1030"/>
    <d v="2026-08-08T00:00:00"/>
    <s v="P007"/>
    <s v="Desk Lamp"/>
    <x v="1"/>
    <s v="Karan Mehta"/>
    <n v="3"/>
    <n v="237.14"/>
    <x v="2"/>
    <n v="7"/>
    <n v="711.42"/>
  </r>
  <r>
    <s v="ORD1031"/>
    <d v="2026-06-22T00:00:00"/>
    <s v="P003"/>
    <s v="USB-C Hub"/>
    <x v="0"/>
    <s v="Divya Nair"/>
    <n v="10"/>
    <n v="241.38"/>
    <x v="0"/>
    <n v="9"/>
    <n v="2413.8000000000002"/>
  </r>
  <r>
    <s v="ORD1032"/>
    <d v="2026-08-09T00:00:00"/>
    <s v="P007"/>
    <s v="Desk Lamp"/>
    <x v="1"/>
    <s v="Unknown"/>
    <n v="2"/>
    <n v="180.53"/>
    <x v="2"/>
    <n v="7"/>
    <n v="361.06"/>
  </r>
  <r>
    <s v="ORD1033"/>
    <d v="2026-07-22T00:00:00"/>
    <s v="P006"/>
    <s v="webcam hd"/>
    <x v="1"/>
    <s v="Sneha Iyer"/>
    <n v="3"/>
    <n v="225.71"/>
    <x v="1"/>
    <n v="15"/>
    <n v="677.13"/>
  </r>
  <r>
    <s v="ORD1034"/>
    <d v="2026-07-28T00:00:00"/>
    <s v="P001"/>
    <s v="Wireless Mouse"/>
    <x v="1"/>
    <s v="Karan Mehta"/>
    <n v="1"/>
    <n v="89.82"/>
    <x v="0"/>
    <n v="4.5"/>
    <n v="89.82"/>
  </r>
  <r>
    <s v="ORD1035"/>
    <d v="2026-08-15T00:00:00"/>
    <s v="P005"/>
    <s v="Laptop Stand"/>
    <x v="1"/>
    <s v="Divya Nair"/>
    <n v="2"/>
    <n v="9.74"/>
    <x v="0"/>
    <n v="6"/>
    <n v="19.48"/>
  </r>
  <r>
    <s v="ORD1036"/>
    <d v="2026-08-20T00:00:00"/>
    <s v="P001"/>
    <s v="Wireless Mouse"/>
    <x v="1"/>
    <s v="Anita Rao"/>
    <n v="1"/>
    <n v="216.03"/>
    <x v="0"/>
    <n v="4.5"/>
    <n v="216.03"/>
  </r>
  <r>
    <s v="ORD1037"/>
    <d v="2026-06-10T00:00:00"/>
    <s v="P005"/>
    <s v="Laptop Stand"/>
    <x v="1"/>
    <s v="Sneha Iyer"/>
    <n v="3"/>
    <n v="59.85"/>
    <x v="0"/>
    <n v="6"/>
    <n v="179.55"/>
  </r>
  <r>
    <s v="ORD1038"/>
    <d v="2026-06-17T00:00:00"/>
    <s v="P006"/>
    <s v="webcam hd"/>
    <x v="0"/>
    <s v="Divya Nair"/>
    <n v="3"/>
    <n v="66.81"/>
    <x v="1"/>
    <n v="15"/>
    <n v="200.43"/>
  </r>
  <r>
    <s v="ORD1039"/>
    <d v="2026-07-31T00:00:00"/>
    <s v="P007"/>
    <s v="Desk Lamp"/>
    <x v="3"/>
    <s v="Karan Mehta"/>
    <n v="3"/>
    <n v="31.46"/>
    <x v="2"/>
    <n v="7"/>
    <n v="94.38"/>
  </r>
  <r>
    <s v="ORD1040"/>
    <d v="2026-07-26T00:00:00"/>
    <s v="P003"/>
    <s v="USB-C Hub"/>
    <x v="3"/>
    <s v="Ravi Kumar"/>
    <n v="3"/>
    <n v="217.05"/>
    <x v="0"/>
    <n v="9"/>
    <n v="651.15000000000009"/>
  </r>
  <r>
    <s v="ORD1041"/>
    <d v="2026-06-07T00:00:00"/>
    <s v="P006"/>
    <s v="webcam hd"/>
    <x v="1"/>
    <s v="Unknown"/>
    <n v="3"/>
    <n v="22.67"/>
    <x v="1"/>
    <n v="15"/>
    <n v="68.010000000000005"/>
  </r>
  <r>
    <s v="ORD1042"/>
    <d v="2026-07-14T00:00:00"/>
    <s v="P007"/>
    <s v="Desk Lamp"/>
    <x v="0"/>
    <s v="Karan Mehta"/>
    <n v="2"/>
    <n v="54.03"/>
    <x v="2"/>
    <n v="7"/>
    <n v="108.06"/>
  </r>
  <r>
    <s v="ORD1043"/>
    <d v="2026-07-28T00:00:00"/>
    <s v="P002"/>
    <s v="Bluetooth Keyboard"/>
    <x v="3"/>
    <s v="Karan Mehta"/>
    <n v="3"/>
    <n v="119.96"/>
    <x v="0"/>
    <n v="12"/>
    <n v="359.88"/>
  </r>
  <r>
    <s v="ORD1044"/>
    <d v="2026-06-10T00:00:00"/>
    <s v="P004"/>
    <s v="27in Monitor"/>
    <x v="0"/>
    <s v="Anita Rao"/>
    <n v="1"/>
    <n v="165.82"/>
    <x v="3"/>
    <n v="130"/>
    <n v="165.82"/>
  </r>
  <r>
    <s v="ORD1045"/>
    <d v="2026-08-09T00:00:00"/>
    <s v="P007"/>
    <s v="Desk Lamp"/>
    <x v="0"/>
    <s v="Anita Rao"/>
    <n v="2"/>
    <n v="48.25"/>
    <x v="2"/>
    <n v="7"/>
    <n v="96.5"/>
  </r>
  <r>
    <s v="ORD1046"/>
    <d v="2026-08-02T00:00:00"/>
    <s v="P004"/>
    <s v="27in Monitor"/>
    <x v="1"/>
    <s v="Ravi Kumar"/>
    <n v="1"/>
    <n v="47.84"/>
    <x v="3"/>
    <n v="130"/>
    <n v="47.84"/>
  </r>
  <r>
    <s v="ORD1047"/>
    <d v="2026-06-01T00:00:00"/>
    <s v="P004"/>
    <s v="27in Monitor"/>
    <x v="2"/>
    <s v="Ravi Kumar"/>
    <n v="3"/>
    <n v="110.37"/>
    <x v="3"/>
    <n v="130"/>
    <n v="331.11"/>
  </r>
  <r>
    <s v="ORD1048"/>
    <d v="2026-08-11T00:00:00"/>
    <s v="P006"/>
    <s v="webcam hd"/>
    <x v="1"/>
    <s v="Ravi Kumar"/>
    <n v="3"/>
    <n v="53.96"/>
    <x v="1"/>
    <n v="15"/>
    <n v="161.88"/>
  </r>
  <r>
    <s v="ORD1049"/>
    <d v="2026-06-28T00:00:00"/>
    <s v="P001"/>
    <s v="Wireless Mouse"/>
    <x v="0"/>
    <s v="Unknown"/>
    <n v="1"/>
    <n v="189.01"/>
    <x v="0"/>
    <n v="4.5"/>
    <n v="189.01"/>
  </r>
  <r>
    <s v="ORD1050"/>
    <d v="2026-06-08T00:00:00"/>
    <s v="P001"/>
    <s v="Wireless Mouse"/>
    <x v="0"/>
    <s v="Ravi Kumar"/>
    <n v="2"/>
    <n v="21.76"/>
    <x v="0"/>
    <n v="4.5"/>
    <n v="43.52"/>
  </r>
  <r>
    <s v="ORD1051"/>
    <d v="2026-08-05T00:00:00"/>
    <s v="P001"/>
    <s v="Wireless Mouse"/>
    <x v="1"/>
    <s v="Anita Rao"/>
    <n v="1"/>
    <n v="171.4"/>
    <x v="0"/>
    <n v="4.5"/>
    <n v="171.4"/>
  </r>
  <r>
    <s v="ORD1052"/>
    <d v="2026-07-01T00:00:00"/>
    <s v="P004"/>
    <s v="27in Monitor"/>
    <x v="0"/>
    <s v="Divya Nair"/>
    <n v="2"/>
    <n v="148.1"/>
    <x v="3"/>
    <n v="130"/>
    <n v="296.2"/>
  </r>
  <r>
    <s v="ORD1053"/>
    <d v="2026-06-06T00:00:00"/>
    <s v="P005"/>
    <s v="Laptop Stand"/>
    <x v="0"/>
    <s v="Ravi Kumar"/>
    <n v="3"/>
    <n v="234.2"/>
    <x v="0"/>
    <n v="6"/>
    <n v="702.59999999999991"/>
  </r>
  <r>
    <s v="ORD1054"/>
    <d v="2026-06-27T00:00:00"/>
    <s v="P006"/>
    <s v="webcam hd"/>
    <x v="1"/>
    <s v="Sneha Iyer"/>
    <n v="2"/>
    <n v="72.28"/>
    <x v="1"/>
    <n v="15"/>
    <n v="144.56"/>
  </r>
  <r>
    <s v="ORD1055"/>
    <d v="2026-06-17T00:00:00"/>
    <s v="P006"/>
    <s v="webcam hd"/>
    <x v="1"/>
    <s v="Sneha Iyer"/>
    <n v="3"/>
    <n v="84.51"/>
    <x v="1"/>
    <n v="15"/>
    <n v="253.53000000000003"/>
  </r>
  <r>
    <s v="ORD1056"/>
    <d v="2026-06-10T00:00:00"/>
    <s v="P001"/>
    <s v="Wireless Mouse"/>
    <x v="3"/>
    <s v="Divya Nair"/>
    <n v="1"/>
    <n v="25.73"/>
    <x v="0"/>
    <n v="4.5"/>
    <n v="25.73"/>
  </r>
  <r>
    <s v="ORD1057"/>
    <d v="2026-06-28T00:00:00"/>
    <s v="P005"/>
    <s v="Laptop Stand"/>
    <x v="2"/>
    <s v="Karan Mehta"/>
    <n v="5"/>
    <n v="221.17"/>
    <x v="0"/>
    <n v="6"/>
    <n v="1105.8499999999999"/>
  </r>
  <r>
    <s v="ORD1058"/>
    <d v="2026-07-02T00:00:00"/>
    <s v="P003"/>
    <s v="USB-C Hub"/>
    <x v="2"/>
    <s v="Karan Mehta"/>
    <n v="3"/>
    <n v="209.77"/>
    <x v="0"/>
    <n v="9"/>
    <n v="629.31000000000006"/>
  </r>
  <r>
    <s v="ORD1059"/>
    <d v="2026-07-09T00:00:00"/>
    <s v="P005"/>
    <s v="Laptop Stand"/>
    <x v="1"/>
    <s v="Divya Nair"/>
    <n v="1"/>
    <n v="169.62"/>
    <x v="0"/>
    <n v="6"/>
    <n v="169.62"/>
  </r>
  <r>
    <s v="ORD1060"/>
    <d v="2026-08-10T00:00:00"/>
    <s v="P003"/>
    <s v="USB-C Hub"/>
    <x v="1"/>
    <s v="Anita Rao"/>
    <n v="3"/>
    <n v="72"/>
    <x v="0"/>
    <n v="9"/>
    <n v="2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D64B4-F869-4B2E-8231-2946B6A72CC8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8" firstHeaderRow="1" firstDataRow="1" firstDataCol="1"/>
  <pivotFields count="11">
    <pivotField showAll="0"/>
    <pivotField numFmtId="164" showAll="0"/>
    <pivotField showAll="0"/>
    <pivotField showAll="0"/>
    <pivotField axis="axisRow" showAll="0" sortType="a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</pivotFields>
  <rowFields count="1">
    <field x="4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Total Sales" fld="1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1408B-6131-4C8D-A4AB-C78DED73B6E1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2:B17" firstHeaderRow="1" firstDataRow="1" firstDataCol="1"/>
  <pivotFields count="11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0" baseField="0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33DE84-CDA9-42BC-BC40-972FA33947AB}" name="Table1" displayName="Table1" ref="A1:K61" totalsRowShown="0" headerRowDxfId="0" dataDxfId="1">
  <autoFilter ref="A1:K61" xr:uid="{5A1B9F17-F8E0-4D14-9472-45C2FE7E9900}"/>
  <tableColumns count="11">
    <tableColumn id="1" xr3:uid="{C98D5E65-73E2-4AE9-9860-0AD943BBC437}" name="Order ID" dataDxfId="12"/>
    <tableColumn id="2" xr3:uid="{1A39DCEB-3671-4C79-9E49-EC292B7A434D}" name="Order Date" dataDxfId="11"/>
    <tableColumn id="3" xr3:uid="{D617EB4B-1879-4F9C-B8D5-A7B35CD405C2}" name="Product Code" dataDxfId="10"/>
    <tableColumn id="4" xr3:uid="{C3E5A1D7-8694-4FD8-A3DD-D9C484B05707}" name="Product Name" dataDxfId="9"/>
    <tableColumn id="5" xr3:uid="{81286211-57CE-4966-8A8C-3BDB7687E973}" name="Region" dataDxfId="8"/>
    <tableColumn id="6" xr3:uid="{30481D2D-4263-4701-AC1D-E91B63946306}" name="Sales Rep" dataDxfId="7"/>
    <tableColumn id="7" xr3:uid="{4D4ACE0F-F3CB-4D77-B67E-3614CFDF6497}" name="Quantity" dataDxfId="6"/>
    <tableColumn id="8" xr3:uid="{D706222C-D727-4D7A-884C-BF463A98BCE7}" name="Unit Price" dataDxfId="5"/>
    <tableColumn id="9" xr3:uid="{D4C4F065-5566-46A2-9518-50090E8904DB}" name="Category" dataDxfId="4">
      <calculatedColumnFormula>VLOOKUP(C2,'Product Reference'!$A$2:$C$8,2,FALSE)</calculatedColumnFormula>
    </tableColumn>
    <tableColumn id="10" xr3:uid="{C95F9ED8-30C8-4B76-90CA-55DB6B8E4081}" name="Standard Cost" dataDxfId="3">
      <calculatedColumnFormula>VLOOKUP(C2,'Product Reference'!$A$2:$C$8,3,FALSE)</calculatedColumnFormula>
    </tableColumn>
    <tableColumn id="11" xr3:uid="{78B2C18F-63F5-4B84-8D1A-AD1388B83274}" name="Total Sales" dataDxfId="2">
      <calculatedColumnFormula>H2*G2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CB67-61FA-4ABD-8DCE-6858EA096D2B}">
  <dimension ref="A3:B17"/>
  <sheetViews>
    <sheetView workbookViewId="0">
      <selection activeCell="B12" sqref="B12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9" bestFit="1" customWidth="1"/>
    <col min="4" max="5" width="8" bestFit="1" customWidth="1"/>
    <col min="6" max="6" width="10.77734375" bestFit="1" customWidth="1"/>
    <col min="7" max="7" width="9.77734375" bestFit="1" customWidth="1"/>
    <col min="8" max="8" width="7" bestFit="1" customWidth="1"/>
    <col min="9" max="9" width="6" bestFit="1" customWidth="1"/>
    <col min="10" max="10" width="12.44140625" bestFit="1" customWidth="1"/>
    <col min="11" max="11" width="12" bestFit="1" customWidth="1"/>
    <col min="12" max="12" width="8" bestFit="1" customWidth="1"/>
    <col min="13" max="13" width="7" bestFit="1" customWidth="1"/>
    <col min="14" max="14" width="14.77734375" bestFit="1" customWidth="1"/>
    <col min="15" max="15" width="8" bestFit="1" customWidth="1"/>
    <col min="16" max="16" width="7" bestFit="1" customWidth="1"/>
    <col min="17" max="17" width="8" bestFit="1" customWidth="1"/>
    <col min="18" max="18" width="6" bestFit="1" customWidth="1"/>
    <col min="19" max="19" width="10.6640625" bestFit="1" customWidth="1"/>
    <col min="20" max="20" width="10.77734375" bestFit="1" customWidth="1"/>
  </cols>
  <sheetData>
    <row r="3" spans="1:2" x14ac:dyDescent="0.3">
      <c r="A3" s="10" t="s">
        <v>100</v>
      </c>
      <c r="B3" t="s">
        <v>99</v>
      </c>
    </row>
    <row r="4" spans="1:2" x14ac:dyDescent="0.3">
      <c r="A4" s="11" t="s">
        <v>46</v>
      </c>
      <c r="B4" s="9">
        <v>1986.1100000000001</v>
      </c>
    </row>
    <row r="5" spans="1:2" x14ac:dyDescent="0.3">
      <c r="A5" s="11" t="s">
        <v>26</v>
      </c>
      <c r="B5" s="9">
        <v>5994.22</v>
      </c>
    </row>
    <row r="6" spans="1:2" x14ac:dyDescent="0.3">
      <c r="A6" s="11" t="s">
        <v>19</v>
      </c>
      <c r="B6" s="9">
        <v>6444.2199999999993</v>
      </c>
    </row>
    <row r="7" spans="1:2" x14ac:dyDescent="0.3">
      <c r="A7" s="11" t="s">
        <v>11</v>
      </c>
      <c r="B7" s="9">
        <v>10780.83</v>
      </c>
    </row>
    <row r="8" spans="1:2" x14ac:dyDescent="0.3">
      <c r="A8" s="11" t="s">
        <v>101</v>
      </c>
      <c r="B8" s="9">
        <v>25205.379999999997</v>
      </c>
    </row>
    <row r="12" spans="1:2" x14ac:dyDescent="0.3">
      <c r="A12" s="10" t="s">
        <v>100</v>
      </c>
      <c r="B12" t="s">
        <v>99</v>
      </c>
    </row>
    <row r="13" spans="1:2" x14ac:dyDescent="0.3">
      <c r="A13" s="11" t="s">
        <v>92</v>
      </c>
      <c r="B13" s="9">
        <v>18396.8</v>
      </c>
    </row>
    <row r="14" spans="1:2" x14ac:dyDescent="0.3">
      <c r="A14" s="11" t="s">
        <v>93</v>
      </c>
      <c r="B14" s="9">
        <v>1077.77</v>
      </c>
    </row>
    <row r="15" spans="1:2" x14ac:dyDescent="0.3">
      <c r="A15" s="11" t="s">
        <v>95</v>
      </c>
      <c r="B15" s="9">
        <v>2519.1600000000003</v>
      </c>
    </row>
    <row r="16" spans="1:2" x14ac:dyDescent="0.3">
      <c r="A16" s="11" t="s">
        <v>96</v>
      </c>
      <c r="B16" s="9">
        <v>3211.65</v>
      </c>
    </row>
    <row r="17" spans="1:2" x14ac:dyDescent="0.3">
      <c r="A17" s="11" t="s">
        <v>101</v>
      </c>
      <c r="B17" s="9">
        <v>25205.38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workbookViewId="0">
      <selection activeCell="L9" sqref="L9"/>
    </sheetView>
  </sheetViews>
  <sheetFormatPr defaultRowHeight="14.4" x14ac:dyDescent="0.3"/>
  <cols>
    <col min="1" max="1" width="11" customWidth="1"/>
    <col min="2" max="2" width="13.44140625" style="8" customWidth="1"/>
    <col min="3" max="3" width="16.109375" customWidth="1"/>
    <col min="4" max="4" width="18.77734375" bestFit="1" customWidth="1"/>
    <col min="5" max="5" width="9.77734375" customWidth="1"/>
    <col min="6" max="6" width="12.6640625" customWidth="1"/>
    <col min="7" max="7" width="11.109375" customWidth="1"/>
    <col min="8" max="8" width="12.33203125" customWidth="1"/>
    <col min="9" max="9" width="11.77734375" customWidth="1"/>
    <col min="10" max="10" width="16.5546875" customWidth="1"/>
    <col min="11" max="11" width="13.5546875" customWidth="1"/>
  </cols>
  <sheetData>
    <row r="1" spans="1:11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90</v>
      </c>
      <c r="J1" s="1" t="s">
        <v>91</v>
      </c>
      <c r="K1" s="5" t="s">
        <v>98</v>
      </c>
    </row>
    <row r="2" spans="1:11" x14ac:dyDescent="0.3">
      <c r="A2" s="2" t="s">
        <v>8</v>
      </c>
      <c r="B2" s="7">
        <v>46255</v>
      </c>
      <c r="C2" s="2" t="s">
        <v>9</v>
      </c>
      <c r="D2" s="2" t="s">
        <v>10</v>
      </c>
      <c r="E2" s="2" t="s">
        <v>11</v>
      </c>
      <c r="F2" s="4" t="s">
        <v>97</v>
      </c>
      <c r="G2" s="2">
        <v>3</v>
      </c>
      <c r="H2" s="2">
        <v>67.260000000000005</v>
      </c>
      <c r="I2" s="3" t="str">
        <f>VLOOKUP(C2,'Product Reference'!$A$2:$C$8,2,FALSE)</f>
        <v>Accessories</v>
      </c>
      <c r="J2" s="3">
        <f>VLOOKUP(C2,'Product Reference'!$A$2:$C$8,3,FALSE)</f>
        <v>4.5</v>
      </c>
      <c r="K2" s="3">
        <f>H2*G2</f>
        <v>201.78000000000003</v>
      </c>
    </row>
    <row r="3" spans="1:11" x14ac:dyDescent="0.3">
      <c r="A3" s="2" t="s">
        <v>12</v>
      </c>
      <c r="B3" s="7">
        <v>46191</v>
      </c>
      <c r="C3" s="2" t="s">
        <v>94</v>
      </c>
      <c r="D3" s="2" t="s">
        <v>13</v>
      </c>
      <c r="E3" s="2" t="s">
        <v>11</v>
      </c>
      <c r="F3" s="4" t="s">
        <v>97</v>
      </c>
      <c r="G3" s="2">
        <v>1</v>
      </c>
      <c r="H3" s="2">
        <v>150.9</v>
      </c>
      <c r="I3" s="3" t="str">
        <f>VLOOKUP(C3,'Product Reference'!$A$2:$C$8,2,FALSE)</f>
        <v>Electronics</v>
      </c>
      <c r="J3" s="3">
        <f>VLOOKUP(C3,'Product Reference'!$A$2:$C$8,3,FALSE)</f>
        <v>15</v>
      </c>
      <c r="K3" s="3">
        <f t="shared" ref="K3:K61" si="0">H3*G3</f>
        <v>150.9</v>
      </c>
    </row>
    <row r="4" spans="1:11" x14ac:dyDescent="0.3">
      <c r="A4" s="2" t="s">
        <v>14</v>
      </c>
      <c r="B4" s="7">
        <v>46178</v>
      </c>
      <c r="C4" s="2" t="s">
        <v>9</v>
      </c>
      <c r="D4" s="2" t="s">
        <v>10</v>
      </c>
      <c r="E4" s="2" t="s">
        <v>11</v>
      </c>
      <c r="F4" s="2" t="s">
        <v>15</v>
      </c>
      <c r="G4" s="2">
        <v>2</v>
      </c>
      <c r="H4" s="2">
        <v>130.30000000000001</v>
      </c>
      <c r="I4" s="3" t="str">
        <f>VLOOKUP(C4,'Product Reference'!$A$2:$C$8,2,FALSE)</f>
        <v>Accessories</v>
      </c>
      <c r="J4" s="3">
        <f>VLOOKUP(C4,'Product Reference'!$A$2:$C$8,3,FALSE)</f>
        <v>4.5</v>
      </c>
      <c r="K4" s="3">
        <f t="shared" si="0"/>
        <v>260.60000000000002</v>
      </c>
    </row>
    <row r="5" spans="1:11" x14ac:dyDescent="0.3">
      <c r="A5" s="2" t="s">
        <v>16</v>
      </c>
      <c r="B5" s="7">
        <v>46177</v>
      </c>
      <c r="C5" s="2" t="s">
        <v>17</v>
      </c>
      <c r="D5" s="2" t="s">
        <v>18</v>
      </c>
      <c r="E5" s="2" t="s">
        <v>19</v>
      </c>
      <c r="F5" s="4" t="s">
        <v>97</v>
      </c>
      <c r="G5" s="2">
        <v>10</v>
      </c>
      <c r="H5" s="2">
        <v>61.35</v>
      </c>
      <c r="I5" s="3" t="str">
        <f>VLOOKUP(C5,'Product Reference'!$A$2:$C$8,2,FALSE)</f>
        <v>Accessories</v>
      </c>
      <c r="J5" s="3">
        <f>VLOOKUP(C5,'Product Reference'!$A$2:$C$8,3,FALSE)</f>
        <v>6</v>
      </c>
      <c r="K5" s="3">
        <f t="shared" si="0"/>
        <v>613.5</v>
      </c>
    </row>
    <row r="6" spans="1:11" x14ac:dyDescent="0.3">
      <c r="A6" s="2" t="s">
        <v>20</v>
      </c>
      <c r="B6" s="7">
        <v>46249</v>
      </c>
      <c r="C6" s="2" t="s">
        <v>21</v>
      </c>
      <c r="D6" s="2" t="s">
        <v>22</v>
      </c>
      <c r="E6" s="2" t="s">
        <v>11</v>
      </c>
      <c r="F6" s="2" t="s">
        <v>15</v>
      </c>
      <c r="G6" s="2">
        <v>10</v>
      </c>
      <c r="H6" s="2">
        <v>90.34</v>
      </c>
      <c r="I6" s="3" t="str">
        <f>VLOOKUP(C6,'Product Reference'!$A$2:$C$8,2,FALSE)</f>
        <v>Accessories</v>
      </c>
      <c r="J6" s="3">
        <f>VLOOKUP(C6,'Product Reference'!$A$2:$C$8,3,FALSE)</f>
        <v>9</v>
      </c>
      <c r="K6" s="3">
        <f t="shared" si="0"/>
        <v>903.40000000000009</v>
      </c>
    </row>
    <row r="7" spans="1:11" x14ac:dyDescent="0.3">
      <c r="A7" s="2" t="s">
        <v>23</v>
      </c>
      <c r="B7" s="7">
        <v>46193</v>
      </c>
      <c r="C7" s="2" t="s">
        <v>24</v>
      </c>
      <c r="D7" s="2" t="s">
        <v>25</v>
      </c>
      <c r="E7" s="2" t="s">
        <v>26</v>
      </c>
      <c r="F7" s="2" t="s">
        <v>27</v>
      </c>
      <c r="G7" s="2">
        <v>1</v>
      </c>
      <c r="H7" s="2">
        <v>99.94</v>
      </c>
      <c r="I7" s="3" t="str">
        <f>VLOOKUP(C7,'Product Reference'!$A$2:$C$8,2,FALSE)</f>
        <v>Accessories</v>
      </c>
      <c r="J7" s="3">
        <f>VLOOKUP(C7,'Product Reference'!$A$2:$C$8,3,FALSE)</f>
        <v>12</v>
      </c>
      <c r="K7" s="3">
        <f t="shared" si="0"/>
        <v>99.94</v>
      </c>
    </row>
    <row r="8" spans="1:11" x14ac:dyDescent="0.3">
      <c r="A8" s="2" t="s">
        <v>28</v>
      </c>
      <c r="B8" s="7">
        <v>46219</v>
      </c>
      <c r="C8" s="2" t="s">
        <v>29</v>
      </c>
      <c r="D8" s="2" t="s">
        <v>30</v>
      </c>
      <c r="E8" s="2" t="s">
        <v>26</v>
      </c>
      <c r="F8" s="2" t="s">
        <v>31</v>
      </c>
      <c r="G8" s="2">
        <v>3</v>
      </c>
      <c r="H8" s="2">
        <v>203.33</v>
      </c>
      <c r="I8" s="3" t="str">
        <f>VLOOKUP(C8,'Product Reference'!$A$2:$C$8,2,FALSE)</f>
        <v>Office</v>
      </c>
      <c r="J8" s="3">
        <f>VLOOKUP(C8,'Product Reference'!$A$2:$C$8,3,FALSE)</f>
        <v>7</v>
      </c>
      <c r="K8" s="3">
        <f t="shared" si="0"/>
        <v>609.99</v>
      </c>
    </row>
    <row r="9" spans="1:11" x14ac:dyDescent="0.3">
      <c r="A9" s="2" t="s">
        <v>32</v>
      </c>
      <c r="B9" s="7">
        <v>46232</v>
      </c>
      <c r="C9" s="2" t="s">
        <v>17</v>
      </c>
      <c r="D9" s="2" t="s">
        <v>18</v>
      </c>
      <c r="E9" s="2" t="s">
        <v>11</v>
      </c>
      <c r="F9" s="2" t="s">
        <v>33</v>
      </c>
      <c r="G9" s="2">
        <v>1</v>
      </c>
      <c r="H9" s="2">
        <v>141.59</v>
      </c>
      <c r="I9" s="3" t="str">
        <f>VLOOKUP(C9,'Product Reference'!$A$2:$C$8,2,FALSE)</f>
        <v>Accessories</v>
      </c>
      <c r="J9" s="3">
        <f>VLOOKUP(C9,'Product Reference'!$A$2:$C$8,3,FALSE)</f>
        <v>6</v>
      </c>
      <c r="K9" s="3">
        <f t="shared" si="0"/>
        <v>141.59</v>
      </c>
    </row>
    <row r="10" spans="1:11" x14ac:dyDescent="0.3">
      <c r="A10" s="2" t="s">
        <v>34</v>
      </c>
      <c r="B10" s="7">
        <v>46254</v>
      </c>
      <c r="C10" s="2" t="s">
        <v>17</v>
      </c>
      <c r="D10" s="2" t="s">
        <v>18</v>
      </c>
      <c r="E10" s="2" t="s">
        <v>26</v>
      </c>
      <c r="F10" s="2" t="s">
        <v>31</v>
      </c>
      <c r="G10" s="2">
        <v>2</v>
      </c>
      <c r="H10" s="2">
        <v>178.51</v>
      </c>
      <c r="I10" s="3" t="str">
        <f>VLOOKUP(C10,'Product Reference'!$A$2:$C$8,2,FALSE)</f>
        <v>Accessories</v>
      </c>
      <c r="J10" s="3">
        <f>VLOOKUP(C10,'Product Reference'!$A$2:$C$8,3,FALSE)</f>
        <v>6</v>
      </c>
      <c r="K10" s="3">
        <f t="shared" si="0"/>
        <v>357.02</v>
      </c>
    </row>
    <row r="11" spans="1:11" x14ac:dyDescent="0.3">
      <c r="A11" s="2" t="s">
        <v>35</v>
      </c>
      <c r="B11" s="7">
        <v>46179</v>
      </c>
      <c r="C11" s="2" t="s">
        <v>94</v>
      </c>
      <c r="D11" s="2" t="s">
        <v>13</v>
      </c>
      <c r="E11" s="2" t="s">
        <v>19</v>
      </c>
      <c r="F11" s="2" t="s">
        <v>36</v>
      </c>
      <c r="G11" s="2">
        <v>1</v>
      </c>
      <c r="H11" s="2">
        <v>214.99</v>
      </c>
      <c r="I11" s="3" t="str">
        <f>VLOOKUP(C11,'Product Reference'!$A$2:$C$8,2,FALSE)</f>
        <v>Electronics</v>
      </c>
      <c r="J11" s="3">
        <f>VLOOKUP(C11,'Product Reference'!$A$2:$C$8,3,FALSE)</f>
        <v>15</v>
      </c>
      <c r="K11" s="3">
        <f t="shared" si="0"/>
        <v>214.99</v>
      </c>
    </row>
    <row r="12" spans="1:11" x14ac:dyDescent="0.3">
      <c r="A12" s="2" t="s">
        <v>37</v>
      </c>
      <c r="B12" s="7">
        <v>46186</v>
      </c>
      <c r="C12" s="2" t="s">
        <v>38</v>
      </c>
      <c r="D12" s="2" t="s">
        <v>39</v>
      </c>
      <c r="E12" s="2" t="s">
        <v>26</v>
      </c>
      <c r="F12" s="2" t="s">
        <v>33</v>
      </c>
      <c r="G12" s="2">
        <v>5</v>
      </c>
      <c r="H12" s="2">
        <v>47.36</v>
      </c>
      <c r="I12" s="3" t="str">
        <f>VLOOKUP(C12,'Product Reference'!$A$2:$C$8,2,FALSE)</f>
        <v>Displays</v>
      </c>
      <c r="J12" s="3">
        <f>VLOOKUP(C12,'Product Reference'!$A$2:$C$8,3,FALSE)</f>
        <v>130</v>
      </c>
      <c r="K12" s="3">
        <f t="shared" si="0"/>
        <v>236.8</v>
      </c>
    </row>
    <row r="13" spans="1:11" x14ac:dyDescent="0.3">
      <c r="A13" s="2" t="s">
        <v>40</v>
      </c>
      <c r="B13" s="7">
        <v>46219</v>
      </c>
      <c r="C13" s="2" t="s">
        <v>24</v>
      </c>
      <c r="D13" s="2" t="s">
        <v>25</v>
      </c>
      <c r="E13" s="2" t="s">
        <v>19</v>
      </c>
      <c r="F13" s="2" t="s">
        <v>36</v>
      </c>
      <c r="G13" s="2">
        <v>1</v>
      </c>
      <c r="H13" s="2">
        <v>155.41</v>
      </c>
      <c r="I13" s="3" t="str">
        <f>VLOOKUP(C13,'Product Reference'!$A$2:$C$8,2,FALSE)</f>
        <v>Accessories</v>
      </c>
      <c r="J13" s="3">
        <f>VLOOKUP(C13,'Product Reference'!$A$2:$C$8,3,FALSE)</f>
        <v>12</v>
      </c>
      <c r="K13" s="3">
        <f t="shared" si="0"/>
        <v>155.41</v>
      </c>
    </row>
    <row r="14" spans="1:11" x14ac:dyDescent="0.3">
      <c r="A14" s="2" t="s">
        <v>41</v>
      </c>
      <c r="B14" s="7">
        <v>46195</v>
      </c>
      <c r="C14" s="2" t="s">
        <v>17</v>
      </c>
      <c r="D14" s="2" t="s">
        <v>18</v>
      </c>
      <c r="E14" s="2" t="s">
        <v>19</v>
      </c>
      <c r="F14" s="2" t="s">
        <v>15</v>
      </c>
      <c r="G14" s="2">
        <v>2</v>
      </c>
      <c r="H14" s="2">
        <v>119.87</v>
      </c>
      <c r="I14" s="3" t="str">
        <f>VLOOKUP(C14,'Product Reference'!$A$2:$C$8,2,FALSE)</f>
        <v>Accessories</v>
      </c>
      <c r="J14" s="3">
        <f>VLOOKUP(C14,'Product Reference'!$A$2:$C$8,3,FALSE)</f>
        <v>6</v>
      </c>
      <c r="K14" s="3">
        <f t="shared" si="0"/>
        <v>239.74</v>
      </c>
    </row>
    <row r="15" spans="1:11" x14ac:dyDescent="0.3">
      <c r="A15" s="2" t="s">
        <v>42</v>
      </c>
      <c r="B15" s="7">
        <v>46208</v>
      </c>
      <c r="C15" s="2" t="s">
        <v>94</v>
      </c>
      <c r="D15" s="2" t="s">
        <v>13</v>
      </c>
      <c r="E15" s="2" t="s">
        <v>19</v>
      </c>
      <c r="F15" s="2" t="s">
        <v>31</v>
      </c>
      <c r="G15" s="2">
        <v>2</v>
      </c>
      <c r="H15" s="2">
        <v>173.68</v>
      </c>
      <c r="I15" s="3" t="str">
        <f>VLOOKUP(C15,'Product Reference'!$A$2:$C$8,2,FALSE)</f>
        <v>Electronics</v>
      </c>
      <c r="J15" s="3">
        <f>VLOOKUP(C15,'Product Reference'!$A$2:$C$8,3,FALSE)</f>
        <v>15</v>
      </c>
      <c r="K15" s="3">
        <f t="shared" si="0"/>
        <v>347.36</v>
      </c>
    </row>
    <row r="16" spans="1:11" x14ac:dyDescent="0.3">
      <c r="A16" s="2" t="s">
        <v>43</v>
      </c>
      <c r="B16" s="7">
        <v>46181</v>
      </c>
      <c r="C16" s="2" t="s">
        <v>24</v>
      </c>
      <c r="D16" s="2" t="s">
        <v>25</v>
      </c>
      <c r="E16" s="2" t="s">
        <v>11</v>
      </c>
      <c r="F16" s="2" t="s">
        <v>36</v>
      </c>
      <c r="G16" s="2">
        <v>10</v>
      </c>
      <c r="H16" s="2">
        <v>72.790000000000006</v>
      </c>
      <c r="I16" s="3" t="str">
        <f>VLOOKUP(C16,'Product Reference'!$A$2:$C$8,2,FALSE)</f>
        <v>Accessories</v>
      </c>
      <c r="J16" s="3">
        <f>VLOOKUP(C16,'Product Reference'!$A$2:$C$8,3,FALSE)</f>
        <v>12</v>
      </c>
      <c r="K16" s="3">
        <f t="shared" si="0"/>
        <v>727.90000000000009</v>
      </c>
    </row>
    <row r="17" spans="1:11" x14ac:dyDescent="0.3">
      <c r="A17" s="2" t="s">
        <v>44</v>
      </c>
      <c r="B17" s="7">
        <v>46201</v>
      </c>
      <c r="C17" s="2" t="s">
        <v>17</v>
      </c>
      <c r="D17" s="2" t="s">
        <v>18</v>
      </c>
      <c r="E17" s="2" t="s">
        <v>19</v>
      </c>
      <c r="F17" s="2" t="s">
        <v>36</v>
      </c>
      <c r="G17" s="2">
        <v>2</v>
      </c>
      <c r="H17" s="2">
        <v>166.62</v>
      </c>
      <c r="I17" s="3" t="str">
        <f>VLOOKUP(C17,'Product Reference'!$A$2:$C$8,2,FALSE)</f>
        <v>Accessories</v>
      </c>
      <c r="J17" s="3">
        <f>VLOOKUP(C17,'Product Reference'!$A$2:$C$8,3,FALSE)</f>
        <v>6</v>
      </c>
      <c r="K17" s="3">
        <f t="shared" si="0"/>
        <v>333.24</v>
      </c>
    </row>
    <row r="18" spans="1:11" x14ac:dyDescent="0.3">
      <c r="A18" s="2" t="s">
        <v>45</v>
      </c>
      <c r="B18" s="7">
        <v>46224</v>
      </c>
      <c r="C18" s="2" t="s">
        <v>94</v>
      </c>
      <c r="D18" s="2" t="s">
        <v>13</v>
      </c>
      <c r="E18" s="2" t="s">
        <v>46</v>
      </c>
      <c r="F18" s="2" t="s">
        <v>15</v>
      </c>
      <c r="G18" s="2">
        <v>3</v>
      </c>
      <c r="H18" s="2">
        <v>41.79</v>
      </c>
      <c r="I18" s="3" t="str">
        <f>VLOOKUP(C18,'Product Reference'!$A$2:$C$8,2,FALSE)</f>
        <v>Electronics</v>
      </c>
      <c r="J18" s="3">
        <f>VLOOKUP(C18,'Product Reference'!$A$2:$C$8,3,FALSE)</f>
        <v>15</v>
      </c>
      <c r="K18" s="3">
        <f t="shared" si="0"/>
        <v>125.37</v>
      </c>
    </row>
    <row r="19" spans="1:11" x14ac:dyDescent="0.3">
      <c r="A19" s="2" t="s">
        <v>47</v>
      </c>
      <c r="B19" s="7">
        <v>46245</v>
      </c>
      <c r="C19" s="2" t="s">
        <v>17</v>
      </c>
      <c r="D19" s="2" t="s">
        <v>18</v>
      </c>
      <c r="E19" s="2" t="s">
        <v>26</v>
      </c>
      <c r="F19" s="4" t="s">
        <v>97</v>
      </c>
      <c r="G19" s="2">
        <v>10</v>
      </c>
      <c r="H19" s="2">
        <v>225.27</v>
      </c>
      <c r="I19" s="3" t="str">
        <f>VLOOKUP(C19,'Product Reference'!$A$2:$C$8,2,FALSE)</f>
        <v>Accessories</v>
      </c>
      <c r="J19" s="3">
        <f>VLOOKUP(C19,'Product Reference'!$A$2:$C$8,3,FALSE)</f>
        <v>6</v>
      </c>
      <c r="K19" s="3">
        <f t="shared" si="0"/>
        <v>2252.7000000000003</v>
      </c>
    </row>
    <row r="20" spans="1:11" x14ac:dyDescent="0.3">
      <c r="A20" s="2" t="s">
        <v>48</v>
      </c>
      <c r="B20" s="7">
        <v>46225</v>
      </c>
      <c r="C20" s="2" t="s">
        <v>21</v>
      </c>
      <c r="D20" s="2" t="s">
        <v>22</v>
      </c>
      <c r="E20" s="2" t="s">
        <v>19</v>
      </c>
      <c r="F20" s="2" t="s">
        <v>15</v>
      </c>
      <c r="G20" s="2">
        <v>3</v>
      </c>
      <c r="H20" s="2">
        <v>30</v>
      </c>
      <c r="I20" s="3" t="str">
        <f>VLOOKUP(C20,'Product Reference'!$A$2:$C$8,2,FALSE)</f>
        <v>Accessories</v>
      </c>
      <c r="J20" s="3">
        <f>VLOOKUP(C20,'Product Reference'!$A$2:$C$8,3,FALSE)</f>
        <v>9</v>
      </c>
      <c r="K20" s="3">
        <f t="shared" si="0"/>
        <v>90</v>
      </c>
    </row>
    <row r="21" spans="1:11" x14ac:dyDescent="0.3">
      <c r="A21" s="2" t="s">
        <v>49</v>
      </c>
      <c r="B21" s="7">
        <v>46180</v>
      </c>
      <c r="C21" s="2" t="s">
        <v>29</v>
      </c>
      <c r="D21" s="2" t="s">
        <v>30</v>
      </c>
      <c r="E21" s="2" t="s">
        <v>11</v>
      </c>
      <c r="F21" s="2" t="s">
        <v>15</v>
      </c>
      <c r="G21" s="2">
        <v>3</v>
      </c>
      <c r="H21" s="2">
        <v>199.68</v>
      </c>
      <c r="I21" s="3" t="str">
        <f>VLOOKUP(C21,'Product Reference'!$A$2:$C$8,2,FALSE)</f>
        <v>Office</v>
      </c>
      <c r="J21" s="3">
        <f>VLOOKUP(C21,'Product Reference'!$A$2:$C$8,3,FALSE)</f>
        <v>7</v>
      </c>
      <c r="K21" s="3">
        <f t="shared" si="0"/>
        <v>599.04</v>
      </c>
    </row>
    <row r="22" spans="1:11" x14ac:dyDescent="0.3">
      <c r="A22" s="2" t="s">
        <v>50</v>
      </c>
      <c r="B22" s="7">
        <v>46228</v>
      </c>
      <c r="C22" s="2" t="s">
        <v>17</v>
      </c>
      <c r="D22" s="2" t="s">
        <v>18</v>
      </c>
      <c r="E22" s="2" t="s">
        <v>11</v>
      </c>
      <c r="F22" s="2" t="s">
        <v>33</v>
      </c>
      <c r="G22" s="2">
        <v>10</v>
      </c>
      <c r="H22" s="2">
        <v>152.19999999999999</v>
      </c>
      <c r="I22" s="3" t="str">
        <f>VLOOKUP(C22,'Product Reference'!$A$2:$C$8,2,FALSE)</f>
        <v>Accessories</v>
      </c>
      <c r="J22" s="3">
        <f>VLOOKUP(C22,'Product Reference'!$A$2:$C$8,3,FALSE)</f>
        <v>6</v>
      </c>
      <c r="K22" s="3">
        <f t="shared" si="0"/>
        <v>1522</v>
      </c>
    </row>
    <row r="23" spans="1:11" x14ac:dyDescent="0.3">
      <c r="A23" s="2" t="s">
        <v>51</v>
      </c>
      <c r="B23" s="7">
        <v>46233</v>
      </c>
      <c r="C23" s="2" t="s">
        <v>17</v>
      </c>
      <c r="D23" s="2" t="s">
        <v>18</v>
      </c>
      <c r="E23" s="2" t="s">
        <v>26</v>
      </c>
      <c r="F23" s="2" t="s">
        <v>31</v>
      </c>
      <c r="G23" s="2">
        <v>1</v>
      </c>
      <c r="H23" s="2">
        <v>172.63</v>
      </c>
      <c r="I23" s="3" t="str">
        <f>VLOOKUP(C23,'Product Reference'!$A$2:$C$8,2,FALSE)</f>
        <v>Accessories</v>
      </c>
      <c r="J23" s="3">
        <f>VLOOKUP(C23,'Product Reference'!$A$2:$C$8,3,FALSE)</f>
        <v>6</v>
      </c>
      <c r="K23" s="3">
        <f t="shared" si="0"/>
        <v>172.63</v>
      </c>
    </row>
    <row r="24" spans="1:11" x14ac:dyDescent="0.3">
      <c r="A24" s="2" t="s">
        <v>52</v>
      </c>
      <c r="B24" s="7">
        <v>46188</v>
      </c>
      <c r="C24" s="2" t="s">
        <v>94</v>
      </c>
      <c r="D24" s="2" t="s">
        <v>13</v>
      </c>
      <c r="E24" s="2" t="s">
        <v>11</v>
      </c>
      <c r="F24" s="2" t="s">
        <v>36</v>
      </c>
      <c r="G24" s="2">
        <v>5</v>
      </c>
      <c r="H24" s="2">
        <v>35</v>
      </c>
      <c r="I24" s="3" t="str">
        <f>VLOOKUP(C24,'Product Reference'!$A$2:$C$8,2,FALSE)</f>
        <v>Electronics</v>
      </c>
      <c r="J24" s="3">
        <f>VLOOKUP(C24,'Product Reference'!$A$2:$C$8,3,FALSE)</f>
        <v>15</v>
      </c>
      <c r="K24" s="3">
        <f t="shared" si="0"/>
        <v>175</v>
      </c>
    </row>
    <row r="25" spans="1:11" x14ac:dyDescent="0.3">
      <c r="A25" s="2" t="s">
        <v>53</v>
      </c>
      <c r="B25" s="7">
        <v>46229</v>
      </c>
      <c r="C25" s="2" t="s">
        <v>24</v>
      </c>
      <c r="D25" s="2" t="s">
        <v>25</v>
      </c>
      <c r="E25" s="2" t="s">
        <v>46</v>
      </c>
      <c r="F25" s="2" t="s">
        <v>27</v>
      </c>
      <c r="G25" s="2">
        <v>3</v>
      </c>
      <c r="H25" s="2">
        <v>243.2</v>
      </c>
      <c r="I25" s="3" t="str">
        <f>VLOOKUP(C25,'Product Reference'!$A$2:$C$8,2,FALSE)</f>
        <v>Accessories</v>
      </c>
      <c r="J25" s="3">
        <f>VLOOKUP(C25,'Product Reference'!$A$2:$C$8,3,FALSE)</f>
        <v>12</v>
      </c>
      <c r="K25" s="3">
        <f t="shared" si="0"/>
        <v>729.59999999999991</v>
      </c>
    </row>
    <row r="26" spans="1:11" x14ac:dyDescent="0.3">
      <c r="A26" s="2" t="s">
        <v>54</v>
      </c>
      <c r="B26" s="7">
        <v>46196</v>
      </c>
      <c r="C26" s="2" t="s">
        <v>17</v>
      </c>
      <c r="D26" s="2" t="s">
        <v>18</v>
      </c>
      <c r="E26" s="2" t="s">
        <v>11</v>
      </c>
      <c r="F26" s="4" t="s">
        <v>97</v>
      </c>
      <c r="G26" s="2">
        <v>3</v>
      </c>
      <c r="H26" s="2">
        <v>211.68</v>
      </c>
      <c r="I26" s="3" t="str">
        <f>VLOOKUP(C26,'Product Reference'!$A$2:$C$8,2,FALSE)</f>
        <v>Accessories</v>
      </c>
      <c r="J26" s="3">
        <f>VLOOKUP(C26,'Product Reference'!$A$2:$C$8,3,FALSE)</f>
        <v>6</v>
      </c>
      <c r="K26" s="3">
        <f t="shared" si="0"/>
        <v>635.04</v>
      </c>
    </row>
    <row r="27" spans="1:11" x14ac:dyDescent="0.3">
      <c r="A27" s="2" t="s">
        <v>55</v>
      </c>
      <c r="B27" s="7">
        <v>46238</v>
      </c>
      <c r="C27" s="2" t="s">
        <v>17</v>
      </c>
      <c r="D27" s="2" t="s">
        <v>18</v>
      </c>
      <c r="E27" s="2" t="s">
        <v>19</v>
      </c>
      <c r="F27" s="2" t="s">
        <v>15</v>
      </c>
      <c r="G27" s="2">
        <v>5</v>
      </c>
      <c r="H27" s="2">
        <v>192.53</v>
      </c>
      <c r="I27" s="3" t="str">
        <f>VLOOKUP(C27,'Product Reference'!$A$2:$C$8,2,FALSE)</f>
        <v>Accessories</v>
      </c>
      <c r="J27" s="3">
        <f>VLOOKUP(C27,'Product Reference'!$A$2:$C$8,3,FALSE)</f>
        <v>6</v>
      </c>
      <c r="K27" s="3">
        <f t="shared" si="0"/>
        <v>962.65</v>
      </c>
    </row>
    <row r="28" spans="1:11" x14ac:dyDescent="0.3">
      <c r="A28" s="2" t="s">
        <v>56</v>
      </c>
      <c r="B28" s="7">
        <v>46243</v>
      </c>
      <c r="C28" s="2" t="s">
        <v>29</v>
      </c>
      <c r="D28" s="2" t="s">
        <v>30</v>
      </c>
      <c r="E28" s="2" t="s">
        <v>11</v>
      </c>
      <c r="F28" s="2" t="s">
        <v>27</v>
      </c>
      <c r="G28" s="2">
        <v>5</v>
      </c>
      <c r="H28" s="2">
        <v>126.24</v>
      </c>
      <c r="I28" s="3" t="str">
        <f>VLOOKUP(C28,'Product Reference'!$A$2:$C$8,2,FALSE)</f>
        <v>Office</v>
      </c>
      <c r="J28" s="3">
        <f>VLOOKUP(C28,'Product Reference'!$A$2:$C$8,3,FALSE)</f>
        <v>7</v>
      </c>
      <c r="K28" s="3">
        <f t="shared" si="0"/>
        <v>631.19999999999993</v>
      </c>
    </row>
    <row r="29" spans="1:11" x14ac:dyDescent="0.3">
      <c r="A29" s="2" t="s">
        <v>57</v>
      </c>
      <c r="B29" s="7">
        <v>46188</v>
      </c>
      <c r="C29" s="2" t="s">
        <v>21</v>
      </c>
      <c r="D29" s="2" t="s">
        <v>22</v>
      </c>
      <c r="E29" s="2" t="s">
        <v>26</v>
      </c>
      <c r="F29" s="2" t="s">
        <v>15</v>
      </c>
      <c r="G29" s="2">
        <v>3</v>
      </c>
      <c r="H29" s="2">
        <v>66.290000000000006</v>
      </c>
      <c r="I29" s="3" t="str">
        <f>VLOOKUP(C29,'Product Reference'!$A$2:$C$8,2,FALSE)</f>
        <v>Accessories</v>
      </c>
      <c r="J29" s="3">
        <f>VLOOKUP(C29,'Product Reference'!$A$2:$C$8,3,FALSE)</f>
        <v>9</v>
      </c>
      <c r="K29" s="3">
        <f t="shared" si="0"/>
        <v>198.87</v>
      </c>
    </row>
    <row r="30" spans="1:11" x14ac:dyDescent="0.3">
      <c r="A30" s="2" t="s">
        <v>58</v>
      </c>
      <c r="B30" s="7">
        <v>46246</v>
      </c>
      <c r="C30" s="2" t="s">
        <v>9</v>
      </c>
      <c r="D30" s="2" t="s">
        <v>10</v>
      </c>
      <c r="E30" s="2" t="s">
        <v>11</v>
      </c>
      <c r="F30" s="4" t="s">
        <v>97</v>
      </c>
      <c r="G30" s="2">
        <v>3</v>
      </c>
      <c r="H30" s="2">
        <v>205.48</v>
      </c>
      <c r="I30" s="3" t="str">
        <f>VLOOKUP(C30,'Product Reference'!$A$2:$C$8,2,FALSE)</f>
        <v>Accessories</v>
      </c>
      <c r="J30" s="3">
        <f>VLOOKUP(C30,'Product Reference'!$A$2:$C$8,3,FALSE)</f>
        <v>4.5</v>
      </c>
      <c r="K30" s="3">
        <f t="shared" si="0"/>
        <v>616.43999999999994</v>
      </c>
    </row>
    <row r="31" spans="1:11" x14ac:dyDescent="0.3">
      <c r="A31" s="2" t="s">
        <v>59</v>
      </c>
      <c r="B31" s="7">
        <v>46242</v>
      </c>
      <c r="C31" s="2" t="s">
        <v>29</v>
      </c>
      <c r="D31" s="2" t="s">
        <v>30</v>
      </c>
      <c r="E31" s="2" t="s">
        <v>19</v>
      </c>
      <c r="F31" s="2" t="s">
        <v>15</v>
      </c>
      <c r="G31" s="2">
        <v>3</v>
      </c>
      <c r="H31" s="2">
        <v>237.14</v>
      </c>
      <c r="I31" s="3" t="str">
        <f>VLOOKUP(C31,'Product Reference'!$A$2:$C$8,2,FALSE)</f>
        <v>Office</v>
      </c>
      <c r="J31" s="3">
        <f>VLOOKUP(C31,'Product Reference'!$A$2:$C$8,3,FALSE)</f>
        <v>7</v>
      </c>
      <c r="K31" s="3">
        <f t="shared" si="0"/>
        <v>711.42</v>
      </c>
    </row>
    <row r="32" spans="1:11" x14ac:dyDescent="0.3">
      <c r="A32" s="2" t="s">
        <v>60</v>
      </c>
      <c r="B32" s="7">
        <v>46195</v>
      </c>
      <c r="C32" s="2" t="s">
        <v>21</v>
      </c>
      <c r="D32" s="2" t="s">
        <v>22</v>
      </c>
      <c r="E32" s="2" t="s">
        <v>11</v>
      </c>
      <c r="F32" s="2" t="s">
        <v>31</v>
      </c>
      <c r="G32" s="2">
        <v>10</v>
      </c>
      <c r="H32" s="2">
        <v>241.38</v>
      </c>
      <c r="I32" s="3" t="str">
        <f>VLOOKUP(C32,'Product Reference'!$A$2:$C$8,2,FALSE)</f>
        <v>Accessories</v>
      </c>
      <c r="J32" s="3">
        <f>VLOOKUP(C32,'Product Reference'!$A$2:$C$8,3,FALSE)</f>
        <v>9</v>
      </c>
      <c r="K32" s="3">
        <f t="shared" si="0"/>
        <v>2413.8000000000002</v>
      </c>
    </row>
    <row r="33" spans="1:11" x14ac:dyDescent="0.3">
      <c r="A33" s="2" t="s">
        <v>61</v>
      </c>
      <c r="B33" s="7">
        <v>46243</v>
      </c>
      <c r="C33" s="2" t="s">
        <v>29</v>
      </c>
      <c r="D33" s="2" t="s">
        <v>30</v>
      </c>
      <c r="E33" s="2" t="s">
        <v>19</v>
      </c>
      <c r="F33" s="4" t="s">
        <v>97</v>
      </c>
      <c r="G33" s="2">
        <v>2</v>
      </c>
      <c r="H33" s="2">
        <v>180.53</v>
      </c>
      <c r="I33" s="3" t="str">
        <f>VLOOKUP(C33,'Product Reference'!$A$2:$C$8,2,FALSE)</f>
        <v>Office</v>
      </c>
      <c r="J33" s="3">
        <f>VLOOKUP(C33,'Product Reference'!$A$2:$C$8,3,FALSE)</f>
        <v>7</v>
      </c>
      <c r="K33" s="3">
        <f t="shared" si="0"/>
        <v>361.06</v>
      </c>
    </row>
    <row r="34" spans="1:11" x14ac:dyDescent="0.3">
      <c r="A34" s="2" t="s">
        <v>62</v>
      </c>
      <c r="B34" s="7">
        <v>46225</v>
      </c>
      <c r="C34" s="2" t="s">
        <v>94</v>
      </c>
      <c r="D34" s="2" t="s">
        <v>13</v>
      </c>
      <c r="E34" s="2" t="s">
        <v>19</v>
      </c>
      <c r="F34" s="2" t="s">
        <v>36</v>
      </c>
      <c r="G34" s="2">
        <v>3</v>
      </c>
      <c r="H34" s="2">
        <v>225.71</v>
      </c>
      <c r="I34" s="3" t="str">
        <f>VLOOKUP(C34,'Product Reference'!$A$2:$C$8,2,FALSE)</f>
        <v>Electronics</v>
      </c>
      <c r="J34" s="3">
        <f>VLOOKUP(C34,'Product Reference'!$A$2:$C$8,3,FALSE)</f>
        <v>15</v>
      </c>
      <c r="K34" s="3">
        <f t="shared" si="0"/>
        <v>677.13</v>
      </c>
    </row>
    <row r="35" spans="1:11" x14ac:dyDescent="0.3">
      <c r="A35" s="2" t="s">
        <v>63</v>
      </c>
      <c r="B35" s="7">
        <v>46231</v>
      </c>
      <c r="C35" s="2" t="s">
        <v>9</v>
      </c>
      <c r="D35" s="2" t="s">
        <v>10</v>
      </c>
      <c r="E35" s="2" t="s">
        <v>19</v>
      </c>
      <c r="F35" s="2" t="s">
        <v>15</v>
      </c>
      <c r="G35" s="2">
        <v>1</v>
      </c>
      <c r="H35" s="2">
        <v>89.82</v>
      </c>
      <c r="I35" s="3" t="str">
        <f>VLOOKUP(C35,'Product Reference'!$A$2:$C$8,2,FALSE)</f>
        <v>Accessories</v>
      </c>
      <c r="J35" s="3">
        <f>VLOOKUP(C35,'Product Reference'!$A$2:$C$8,3,FALSE)</f>
        <v>4.5</v>
      </c>
      <c r="K35" s="3">
        <f t="shared" si="0"/>
        <v>89.82</v>
      </c>
    </row>
    <row r="36" spans="1:11" x14ac:dyDescent="0.3">
      <c r="A36" s="2" t="s">
        <v>64</v>
      </c>
      <c r="B36" s="7">
        <v>46249</v>
      </c>
      <c r="C36" s="2" t="s">
        <v>17</v>
      </c>
      <c r="D36" s="2" t="s">
        <v>18</v>
      </c>
      <c r="E36" s="2" t="s">
        <v>19</v>
      </c>
      <c r="F36" s="2" t="s">
        <v>31</v>
      </c>
      <c r="G36" s="2">
        <v>2</v>
      </c>
      <c r="H36" s="2">
        <v>9.74</v>
      </c>
      <c r="I36" s="3" t="str">
        <f>VLOOKUP(C36,'Product Reference'!$A$2:$C$8,2,FALSE)</f>
        <v>Accessories</v>
      </c>
      <c r="J36" s="3">
        <f>VLOOKUP(C36,'Product Reference'!$A$2:$C$8,3,FALSE)</f>
        <v>6</v>
      </c>
      <c r="K36" s="3">
        <f t="shared" si="0"/>
        <v>19.48</v>
      </c>
    </row>
    <row r="37" spans="1:11" x14ac:dyDescent="0.3">
      <c r="A37" s="2" t="s">
        <v>65</v>
      </c>
      <c r="B37" s="7">
        <v>46254</v>
      </c>
      <c r="C37" s="2" t="s">
        <v>9</v>
      </c>
      <c r="D37" s="2" t="s">
        <v>10</v>
      </c>
      <c r="E37" s="2" t="s">
        <v>19</v>
      </c>
      <c r="F37" s="2" t="s">
        <v>27</v>
      </c>
      <c r="G37" s="2">
        <v>1</v>
      </c>
      <c r="H37" s="2">
        <v>216.03</v>
      </c>
      <c r="I37" s="3" t="str">
        <f>VLOOKUP(C37,'Product Reference'!$A$2:$C$8,2,FALSE)</f>
        <v>Accessories</v>
      </c>
      <c r="J37" s="3">
        <f>VLOOKUP(C37,'Product Reference'!$A$2:$C$8,3,FALSE)</f>
        <v>4.5</v>
      </c>
      <c r="K37" s="3">
        <f t="shared" si="0"/>
        <v>216.03</v>
      </c>
    </row>
    <row r="38" spans="1:11" x14ac:dyDescent="0.3">
      <c r="A38" s="2" t="s">
        <v>66</v>
      </c>
      <c r="B38" s="7">
        <v>46183</v>
      </c>
      <c r="C38" s="2" t="s">
        <v>17</v>
      </c>
      <c r="D38" s="2" t="s">
        <v>18</v>
      </c>
      <c r="E38" s="2" t="s">
        <v>19</v>
      </c>
      <c r="F38" s="2" t="s">
        <v>36</v>
      </c>
      <c r="G38" s="2">
        <v>3</v>
      </c>
      <c r="H38" s="2">
        <v>59.85</v>
      </c>
      <c r="I38" s="3" t="str">
        <f>VLOOKUP(C38,'Product Reference'!$A$2:$C$8,2,FALSE)</f>
        <v>Accessories</v>
      </c>
      <c r="J38" s="3">
        <f>VLOOKUP(C38,'Product Reference'!$A$2:$C$8,3,FALSE)</f>
        <v>6</v>
      </c>
      <c r="K38" s="3">
        <f t="shared" si="0"/>
        <v>179.55</v>
      </c>
    </row>
    <row r="39" spans="1:11" x14ac:dyDescent="0.3">
      <c r="A39" s="2" t="s">
        <v>67</v>
      </c>
      <c r="B39" s="7">
        <v>46190</v>
      </c>
      <c r="C39" s="2" t="s">
        <v>94</v>
      </c>
      <c r="D39" s="2" t="s">
        <v>13</v>
      </c>
      <c r="E39" s="2" t="s">
        <v>11</v>
      </c>
      <c r="F39" s="2" t="s">
        <v>31</v>
      </c>
      <c r="G39" s="2">
        <v>3</v>
      </c>
      <c r="H39" s="2">
        <v>66.81</v>
      </c>
      <c r="I39" s="3" t="str">
        <f>VLOOKUP(C39,'Product Reference'!$A$2:$C$8,2,FALSE)</f>
        <v>Electronics</v>
      </c>
      <c r="J39" s="3">
        <f>VLOOKUP(C39,'Product Reference'!$A$2:$C$8,3,FALSE)</f>
        <v>15</v>
      </c>
      <c r="K39" s="3">
        <f t="shared" si="0"/>
        <v>200.43</v>
      </c>
    </row>
    <row r="40" spans="1:11" x14ac:dyDescent="0.3">
      <c r="A40" s="2" t="s">
        <v>68</v>
      </c>
      <c r="B40" s="7">
        <v>46234</v>
      </c>
      <c r="C40" s="2" t="s">
        <v>29</v>
      </c>
      <c r="D40" s="2" t="s">
        <v>30</v>
      </c>
      <c r="E40" s="2" t="s">
        <v>46</v>
      </c>
      <c r="F40" s="2" t="s">
        <v>15</v>
      </c>
      <c r="G40" s="2">
        <v>3</v>
      </c>
      <c r="H40" s="2">
        <v>31.46</v>
      </c>
      <c r="I40" s="3" t="str">
        <f>VLOOKUP(C40,'Product Reference'!$A$2:$C$8,2,FALSE)</f>
        <v>Office</v>
      </c>
      <c r="J40" s="3">
        <f>VLOOKUP(C40,'Product Reference'!$A$2:$C$8,3,FALSE)</f>
        <v>7</v>
      </c>
      <c r="K40" s="3">
        <f t="shared" si="0"/>
        <v>94.38</v>
      </c>
    </row>
    <row r="41" spans="1:11" x14ac:dyDescent="0.3">
      <c r="A41" s="2" t="s">
        <v>69</v>
      </c>
      <c r="B41" s="7">
        <v>46229</v>
      </c>
      <c r="C41" s="2" t="s">
        <v>21</v>
      </c>
      <c r="D41" s="2" t="s">
        <v>22</v>
      </c>
      <c r="E41" s="2" t="s">
        <v>46</v>
      </c>
      <c r="F41" s="2" t="s">
        <v>33</v>
      </c>
      <c r="G41" s="2">
        <v>3</v>
      </c>
      <c r="H41" s="2">
        <v>217.05</v>
      </c>
      <c r="I41" s="3" t="str">
        <f>VLOOKUP(C41,'Product Reference'!$A$2:$C$8,2,FALSE)</f>
        <v>Accessories</v>
      </c>
      <c r="J41" s="3">
        <f>VLOOKUP(C41,'Product Reference'!$A$2:$C$8,3,FALSE)</f>
        <v>9</v>
      </c>
      <c r="K41" s="3">
        <f t="shared" si="0"/>
        <v>651.15000000000009</v>
      </c>
    </row>
    <row r="42" spans="1:11" x14ac:dyDescent="0.3">
      <c r="A42" s="2" t="s">
        <v>70</v>
      </c>
      <c r="B42" s="7">
        <v>46180</v>
      </c>
      <c r="C42" s="2" t="s">
        <v>94</v>
      </c>
      <c r="D42" s="2" t="s">
        <v>13</v>
      </c>
      <c r="E42" s="2" t="s">
        <v>19</v>
      </c>
      <c r="F42" s="4" t="s">
        <v>97</v>
      </c>
      <c r="G42" s="2">
        <v>3</v>
      </c>
      <c r="H42" s="2">
        <v>22.67</v>
      </c>
      <c r="I42" s="3" t="str">
        <f>VLOOKUP(C42,'Product Reference'!$A$2:$C$8,2,FALSE)</f>
        <v>Electronics</v>
      </c>
      <c r="J42" s="3">
        <f>VLOOKUP(C42,'Product Reference'!$A$2:$C$8,3,FALSE)</f>
        <v>15</v>
      </c>
      <c r="K42" s="3">
        <f t="shared" si="0"/>
        <v>68.010000000000005</v>
      </c>
    </row>
    <row r="43" spans="1:11" x14ac:dyDescent="0.3">
      <c r="A43" s="2" t="s">
        <v>71</v>
      </c>
      <c r="B43" s="7">
        <v>46217</v>
      </c>
      <c r="C43" s="2" t="s">
        <v>29</v>
      </c>
      <c r="D43" s="2" t="s">
        <v>30</v>
      </c>
      <c r="E43" s="2" t="s">
        <v>11</v>
      </c>
      <c r="F43" s="2" t="s">
        <v>15</v>
      </c>
      <c r="G43" s="2">
        <v>2</v>
      </c>
      <c r="H43" s="2">
        <v>54.03</v>
      </c>
      <c r="I43" s="3" t="str">
        <f>VLOOKUP(C43,'Product Reference'!$A$2:$C$8,2,FALSE)</f>
        <v>Office</v>
      </c>
      <c r="J43" s="3">
        <f>VLOOKUP(C43,'Product Reference'!$A$2:$C$8,3,FALSE)</f>
        <v>7</v>
      </c>
      <c r="K43" s="3">
        <f t="shared" si="0"/>
        <v>108.06</v>
      </c>
    </row>
    <row r="44" spans="1:11" x14ac:dyDescent="0.3">
      <c r="A44" s="2" t="s">
        <v>72</v>
      </c>
      <c r="B44" s="7">
        <v>46231</v>
      </c>
      <c r="C44" s="2" t="s">
        <v>24</v>
      </c>
      <c r="D44" s="2" t="s">
        <v>25</v>
      </c>
      <c r="E44" s="2" t="s">
        <v>46</v>
      </c>
      <c r="F44" s="2" t="s">
        <v>15</v>
      </c>
      <c r="G44" s="2">
        <v>3</v>
      </c>
      <c r="H44" s="2">
        <v>119.96</v>
      </c>
      <c r="I44" s="3" t="str">
        <f>VLOOKUP(C44,'Product Reference'!$A$2:$C$8,2,FALSE)</f>
        <v>Accessories</v>
      </c>
      <c r="J44" s="3">
        <f>VLOOKUP(C44,'Product Reference'!$A$2:$C$8,3,FALSE)</f>
        <v>12</v>
      </c>
      <c r="K44" s="3">
        <f t="shared" si="0"/>
        <v>359.88</v>
      </c>
    </row>
    <row r="45" spans="1:11" x14ac:dyDescent="0.3">
      <c r="A45" s="2" t="s">
        <v>73</v>
      </c>
      <c r="B45" s="7">
        <v>46183</v>
      </c>
      <c r="C45" s="2" t="s">
        <v>38</v>
      </c>
      <c r="D45" s="2" t="s">
        <v>39</v>
      </c>
      <c r="E45" s="2" t="s">
        <v>11</v>
      </c>
      <c r="F45" s="2" t="s">
        <v>27</v>
      </c>
      <c r="G45" s="2">
        <v>1</v>
      </c>
      <c r="H45" s="2">
        <v>165.82</v>
      </c>
      <c r="I45" s="3" t="str">
        <f>VLOOKUP(C45,'Product Reference'!$A$2:$C$8,2,FALSE)</f>
        <v>Displays</v>
      </c>
      <c r="J45" s="3">
        <f>VLOOKUP(C45,'Product Reference'!$A$2:$C$8,3,FALSE)</f>
        <v>130</v>
      </c>
      <c r="K45" s="3">
        <f t="shared" si="0"/>
        <v>165.82</v>
      </c>
    </row>
    <row r="46" spans="1:11" x14ac:dyDescent="0.3">
      <c r="A46" s="2" t="s">
        <v>74</v>
      </c>
      <c r="B46" s="7">
        <v>46243</v>
      </c>
      <c r="C46" s="2" t="s">
        <v>29</v>
      </c>
      <c r="D46" s="2" t="s">
        <v>30</v>
      </c>
      <c r="E46" s="2" t="s">
        <v>11</v>
      </c>
      <c r="F46" s="2" t="s">
        <v>27</v>
      </c>
      <c r="G46" s="2">
        <v>2</v>
      </c>
      <c r="H46" s="2">
        <v>48.25</v>
      </c>
      <c r="I46" s="3" t="str">
        <f>VLOOKUP(C46,'Product Reference'!$A$2:$C$8,2,FALSE)</f>
        <v>Office</v>
      </c>
      <c r="J46" s="3">
        <f>VLOOKUP(C46,'Product Reference'!$A$2:$C$8,3,FALSE)</f>
        <v>7</v>
      </c>
      <c r="K46" s="3">
        <f t="shared" si="0"/>
        <v>96.5</v>
      </c>
    </row>
    <row r="47" spans="1:11" x14ac:dyDescent="0.3">
      <c r="A47" s="2" t="s">
        <v>75</v>
      </c>
      <c r="B47" s="7">
        <v>46236</v>
      </c>
      <c r="C47" s="2" t="s">
        <v>38</v>
      </c>
      <c r="D47" s="2" t="s">
        <v>39</v>
      </c>
      <c r="E47" s="2" t="s">
        <v>19</v>
      </c>
      <c r="F47" s="2" t="s">
        <v>33</v>
      </c>
      <c r="G47" s="2">
        <v>1</v>
      </c>
      <c r="H47" s="2">
        <v>47.84</v>
      </c>
      <c r="I47" s="3" t="str">
        <f>VLOOKUP(C47,'Product Reference'!$A$2:$C$8,2,FALSE)</f>
        <v>Displays</v>
      </c>
      <c r="J47" s="3">
        <f>VLOOKUP(C47,'Product Reference'!$A$2:$C$8,3,FALSE)</f>
        <v>130</v>
      </c>
      <c r="K47" s="3">
        <f t="shared" si="0"/>
        <v>47.84</v>
      </c>
    </row>
    <row r="48" spans="1:11" x14ac:dyDescent="0.3">
      <c r="A48" s="2" t="s">
        <v>76</v>
      </c>
      <c r="B48" s="7">
        <v>46174</v>
      </c>
      <c r="C48" s="2" t="s">
        <v>38</v>
      </c>
      <c r="D48" s="2" t="s">
        <v>39</v>
      </c>
      <c r="E48" s="2" t="s">
        <v>26</v>
      </c>
      <c r="F48" s="2" t="s">
        <v>33</v>
      </c>
      <c r="G48" s="2">
        <v>3</v>
      </c>
      <c r="H48" s="2">
        <v>110.37</v>
      </c>
      <c r="I48" s="3" t="str">
        <f>VLOOKUP(C48,'Product Reference'!$A$2:$C$8,2,FALSE)</f>
        <v>Displays</v>
      </c>
      <c r="J48" s="3">
        <f>VLOOKUP(C48,'Product Reference'!$A$2:$C$8,3,FALSE)</f>
        <v>130</v>
      </c>
      <c r="K48" s="3">
        <f t="shared" si="0"/>
        <v>331.11</v>
      </c>
    </row>
    <row r="49" spans="1:11" x14ac:dyDescent="0.3">
      <c r="A49" s="2" t="s">
        <v>77</v>
      </c>
      <c r="B49" s="7">
        <v>46245</v>
      </c>
      <c r="C49" s="2" t="s">
        <v>94</v>
      </c>
      <c r="D49" s="2" t="s">
        <v>13</v>
      </c>
      <c r="E49" s="2" t="s">
        <v>19</v>
      </c>
      <c r="F49" s="2" t="s">
        <v>33</v>
      </c>
      <c r="G49" s="2">
        <v>3</v>
      </c>
      <c r="H49" s="2">
        <v>53.96</v>
      </c>
      <c r="I49" s="3" t="str">
        <f>VLOOKUP(C49,'Product Reference'!$A$2:$C$8,2,FALSE)</f>
        <v>Electronics</v>
      </c>
      <c r="J49" s="3">
        <f>VLOOKUP(C49,'Product Reference'!$A$2:$C$8,3,FALSE)</f>
        <v>15</v>
      </c>
      <c r="K49" s="3">
        <f t="shared" si="0"/>
        <v>161.88</v>
      </c>
    </row>
    <row r="50" spans="1:11" x14ac:dyDescent="0.3">
      <c r="A50" s="2" t="s">
        <v>78</v>
      </c>
      <c r="B50" s="7">
        <v>46201</v>
      </c>
      <c r="C50" s="2" t="s">
        <v>9</v>
      </c>
      <c r="D50" s="2" t="s">
        <v>10</v>
      </c>
      <c r="E50" s="2" t="s">
        <v>11</v>
      </c>
      <c r="F50" s="4" t="s">
        <v>97</v>
      </c>
      <c r="G50" s="2">
        <v>1</v>
      </c>
      <c r="H50" s="2">
        <v>189.01</v>
      </c>
      <c r="I50" s="3" t="str">
        <f>VLOOKUP(C50,'Product Reference'!$A$2:$C$8,2,FALSE)</f>
        <v>Accessories</v>
      </c>
      <c r="J50" s="3">
        <f>VLOOKUP(C50,'Product Reference'!$A$2:$C$8,3,FALSE)</f>
        <v>4.5</v>
      </c>
      <c r="K50" s="3">
        <f t="shared" si="0"/>
        <v>189.01</v>
      </c>
    </row>
    <row r="51" spans="1:11" x14ac:dyDescent="0.3">
      <c r="A51" s="2" t="s">
        <v>79</v>
      </c>
      <c r="B51" s="7">
        <v>46181</v>
      </c>
      <c r="C51" s="2" t="s">
        <v>9</v>
      </c>
      <c r="D51" s="2" t="s">
        <v>10</v>
      </c>
      <c r="E51" s="2" t="s">
        <v>11</v>
      </c>
      <c r="F51" s="2" t="s">
        <v>33</v>
      </c>
      <c r="G51" s="2">
        <v>2</v>
      </c>
      <c r="H51" s="2">
        <v>21.76</v>
      </c>
      <c r="I51" s="3" t="str">
        <f>VLOOKUP(C51,'Product Reference'!$A$2:$C$8,2,FALSE)</f>
        <v>Accessories</v>
      </c>
      <c r="J51" s="3">
        <f>VLOOKUP(C51,'Product Reference'!$A$2:$C$8,3,FALSE)</f>
        <v>4.5</v>
      </c>
      <c r="K51" s="3">
        <f t="shared" si="0"/>
        <v>43.52</v>
      </c>
    </row>
    <row r="52" spans="1:11" x14ac:dyDescent="0.3">
      <c r="A52" s="2" t="s">
        <v>80</v>
      </c>
      <c r="B52" s="7">
        <v>46239</v>
      </c>
      <c r="C52" s="2" t="s">
        <v>9</v>
      </c>
      <c r="D52" s="2" t="s">
        <v>10</v>
      </c>
      <c r="E52" s="2" t="s">
        <v>19</v>
      </c>
      <c r="F52" s="2" t="s">
        <v>27</v>
      </c>
      <c r="G52" s="2">
        <v>1</v>
      </c>
      <c r="H52" s="2">
        <v>171.4</v>
      </c>
      <c r="I52" s="3" t="str">
        <f>VLOOKUP(C52,'Product Reference'!$A$2:$C$8,2,FALSE)</f>
        <v>Accessories</v>
      </c>
      <c r="J52" s="3">
        <f>VLOOKUP(C52,'Product Reference'!$A$2:$C$8,3,FALSE)</f>
        <v>4.5</v>
      </c>
      <c r="K52" s="3">
        <f t="shared" si="0"/>
        <v>171.4</v>
      </c>
    </row>
    <row r="53" spans="1:11" x14ac:dyDescent="0.3">
      <c r="A53" s="2" t="s">
        <v>81</v>
      </c>
      <c r="B53" s="7">
        <v>46204</v>
      </c>
      <c r="C53" s="2" t="s">
        <v>38</v>
      </c>
      <c r="D53" s="2" t="s">
        <v>39</v>
      </c>
      <c r="E53" s="2" t="s">
        <v>11</v>
      </c>
      <c r="F53" s="2" t="s">
        <v>31</v>
      </c>
      <c r="G53" s="2">
        <v>2</v>
      </c>
      <c r="H53" s="2">
        <v>148.1</v>
      </c>
      <c r="I53" s="3" t="str">
        <f>VLOOKUP(C53,'Product Reference'!$A$2:$C$8,2,FALSE)</f>
        <v>Displays</v>
      </c>
      <c r="J53" s="3">
        <f>VLOOKUP(C53,'Product Reference'!$A$2:$C$8,3,FALSE)</f>
        <v>130</v>
      </c>
      <c r="K53" s="3">
        <f t="shared" si="0"/>
        <v>296.2</v>
      </c>
    </row>
    <row r="54" spans="1:11" x14ac:dyDescent="0.3">
      <c r="A54" s="2" t="s">
        <v>82</v>
      </c>
      <c r="B54" s="7">
        <v>46179</v>
      </c>
      <c r="C54" s="2" t="s">
        <v>17</v>
      </c>
      <c r="D54" s="2" t="s">
        <v>18</v>
      </c>
      <c r="E54" s="2" t="s">
        <v>11</v>
      </c>
      <c r="F54" s="2" t="s">
        <v>33</v>
      </c>
      <c r="G54" s="2">
        <v>3</v>
      </c>
      <c r="H54" s="2">
        <v>234.2</v>
      </c>
      <c r="I54" s="3" t="str">
        <f>VLOOKUP(C54,'Product Reference'!$A$2:$C$8,2,FALSE)</f>
        <v>Accessories</v>
      </c>
      <c r="J54" s="3">
        <f>VLOOKUP(C54,'Product Reference'!$A$2:$C$8,3,FALSE)</f>
        <v>6</v>
      </c>
      <c r="K54" s="3">
        <f t="shared" si="0"/>
        <v>702.59999999999991</v>
      </c>
    </row>
    <row r="55" spans="1:11" x14ac:dyDescent="0.3">
      <c r="A55" s="2" t="s">
        <v>83</v>
      </c>
      <c r="B55" s="7">
        <v>46200</v>
      </c>
      <c r="C55" s="2" t="s">
        <v>94</v>
      </c>
      <c r="D55" s="2" t="s">
        <v>13</v>
      </c>
      <c r="E55" s="2" t="s">
        <v>19</v>
      </c>
      <c r="F55" s="2" t="s">
        <v>36</v>
      </c>
      <c r="G55" s="2">
        <v>2</v>
      </c>
      <c r="H55" s="2">
        <v>72.28</v>
      </c>
      <c r="I55" s="3" t="str">
        <f>VLOOKUP(C55,'Product Reference'!$A$2:$C$8,2,FALSE)</f>
        <v>Electronics</v>
      </c>
      <c r="J55" s="3">
        <f>VLOOKUP(C55,'Product Reference'!$A$2:$C$8,3,FALSE)</f>
        <v>15</v>
      </c>
      <c r="K55" s="3">
        <f t="shared" si="0"/>
        <v>144.56</v>
      </c>
    </row>
    <row r="56" spans="1:11" x14ac:dyDescent="0.3">
      <c r="A56" s="2" t="s">
        <v>84</v>
      </c>
      <c r="B56" s="7">
        <v>46190</v>
      </c>
      <c r="C56" s="2" t="s">
        <v>94</v>
      </c>
      <c r="D56" s="2" t="s">
        <v>13</v>
      </c>
      <c r="E56" s="2" t="s">
        <v>19</v>
      </c>
      <c r="F56" s="2" t="s">
        <v>36</v>
      </c>
      <c r="G56" s="2">
        <v>3</v>
      </c>
      <c r="H56" s="2">
        <v>84.51</v>
      </c>
      <c r="I56" s="3" t="str">
        <f>VLOOKUP(C56,'Product Reference'!$A$2:$C$8,2,FALSE)</f>
        <v>Electronics</v>
      </c>
      <c r="J56" s="3">
        <f>VLOOKUP(C56,'Product Reference'!$A$2:$C$8,3,FALSE)</f>
        <v>15</v>
      </c>
      <c r="K56" s="3">
        <f t="shared" si="0"/>
        <v>253.53000000000003</v>
      </c>
    </row>
    <row r="57" spans="1:11" x14ac:dyDescent="0.3">
      <c r="A57" s="2" t="s">
        <v>85</v>
      </c>
      <c r="B57" s="7">
        <v>46183</v>
      </c>
      <c r="C57" s="2" t="s">
        <v>9</v>
      </c>
      <c r="D57" s="2" t="s">
        <v>10</v>
      </c>
      <c r="E57" s="2" t="s">
        <v>46</v>
      </c>
      <c r="F57" s="2" t="s">
        <v>31</v>
      </c>
      <c r="G57" s="2">
        <v>1</v>
      </c>
      <c r="H57" s="2">
        <v>25.73</v>
      </c>
      <c r="I57" s="3" t="str">
        <f>VLOOKUP(C57,'Product Reference'!$A$2:$C$8,2,FALSE)</f>
        <v>Accessories</v>
      </c>
      <c r="J57" s="3">
        <f>VLOOKUP(C57,'Product Reference'!$A$2:$C$8,3,FALSE)</f>
        <v>4.5</v>
      </c>
      <c r="K57" s="3">
        <f t="shared" si="0"/>
        <v>25.73</v>
      </c>
    </row>
    <row r="58" spans="1:11" x14ac:dyDescent="0.3">
      <c r="A58" s="2" t="s">
        <v>86</v>
      </c>
      <c r="B58" s="7">
        <v>46201</v>
      </c>
      <c r="C58" s="2" t="s">
        <v>17</v>
      </c>
      <c r="D58" s="2" t="s">
        <v>18</v>
      </c>
      <c r="E58" s="2" t="s">
        <v>26</v>
      </c>
      <c r="F58" s="2" t="s">
        <v>15</v>
      </c>
      <c r="G58" s="2">
        <v>5</v>
      </c>
      <c r="H58" s="2">
        <v>221.17</v>
      </c>
      <c r="I58" s="3" t="str">
        <f>VLOOKUP(C58,'Product Reference'!$A$2:$C$8,2,FALSE)</f>
        <v>Accessories</v>
      </c>
      <c r="J58" s="3">
        <f>VLOOKUP(C58,'Product Reference'!$A$2:$C$8,3,FALSE)</f>
        <v>6</v>
      </c>
      <c r="K58" s="3">
        <f t="shared" si="0"/>
        <v>1105.8499999999999</v>
      </c>
    </row>
    <row r="59" spans="1:11" x14ac:dyDescent="0.3">
      <c r="A59" s="2" t="s">
        <v>87</v>
      </c>
      <c r="B59" s="7">
        <v>46205</v>
      </c>
      <c r="C59" s="2" t="s">
        <v>21</v>
      </c>
      <c r="D59" s="2" t="s">
        <v>22</v>
      </c>
      <c r="E59" s="2" t="s">
        <v>26</v>
      </c>
      <c r="F59" s="2" t="s">
        <v>15</v>
      </c>
      <c r="G59" s="2">
        <v>3</v>
      </c>
      <c r="H59" s="2">
        <v>209.77</v>
      </c>
      <c r="I59" s="3" t="str">
        <f>VLOOKUP(C59,'Product Reference'!$A$2:$C$8,2,FALSE)</f>
        <v>Accessories</v>
      </c>
      <c r="J59" s="3">
        <f>VLOOKUP(C59,'Product Reference'!$A$2:$C$8,3,FALSE)</f>
        <v>9</v>
      </c>
      <c r="K59" s="3">
        <f t="shared" si="0"/>
        <v>629.31000000000006</v>
      </c>
    </row>
    <row r="60" spans="1:11" x14ac:dyDescent="0.3">
      <c r="A60" s="2" t="s">
        <v>88</v>
      </c>
      <c r="B60" s="7">
        <v>46212</v>
      </c>
      <c r="C60" s="2" t="s">
        <v>17</v>
      </c>
      <c r="D60" s="2" t="s">
        <v>18</v>
      </c>
      <c r="E60" s="2" t="s">
        <v>19</v>
      </c>
      <c r="F60" s="2" t="s">
        <v>31</v>
      </c>
      <c r="G60" s="2">
        <v>1</v>
      </c>
      <c r="H60" s="2">
        <v>169.62</v>
      </c>
      <c r="I60" s="3" t="str">
        <f>VLOOKUP(C60,'Product Reference'!$A$2:$C$8,2,FALSE)</f>
        <v>Accessories</v>
      </c>
      <c r="J60" s="3">
        <f>VLOOKUP(C60,'Product Reference'!$A$2:$C$8,3,FALSE)</f>
        <v>6</v>
      </c>
      <c r="K60" s="3">
        <f t="shared" si="0"/>
        <v>169.62</v>
      </c>
    </row>
    <row r="61" spans="1:11" x14ac:dyDescent="0.3">
      <c r="A61" s="2" t="s">
        <v>89</v>
      </c>
      <c r="B61" s="7">
        <v>46244</v>
      </c>
      <c r="C61" s="2" t="s">
        <v>21</v>
      </c>
      <c r="D61" s="2" t="s">
        <v>22</v>
      </c>
      <c r="E61" s="2" t="s">
        <v>19</v>
      </c>
      <c r="F61" s="2" t="s">
        <v>27</v>
      </c>
      <c r="G61" s="2">
        <v>3</v>
      </c>
      <c r="H61" s="2">
        <v>72</v>
      </c>
      <c r="I61" s="3" t="str">
        <f>VLOOKUP(C61,'Product Reference'!$A$2:$C$8,2,FALSE)</f>
        <v>Accessories</v>
      </c>
      <c r="J61" s="3">
        <f>VLOOKUP(C61,'Product Reference'!$A$2:$C$8,3,FALSE)</f>
        <v>9</v>
      </c>
      <c r="K61" s="3">
        <f t="shared" si="0"/>
        <v>216</v>
      </c>
    </row>
    <row r="62" spans="1:11" x14ac:dyDescent="0.3">
      <c r="I62" s="3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1" sqref="C1"/>
    </sheetView>
  </sheetViews>
  <sheetFormatPr defaultRowHeight="14.4" x14ac:dyDescent="0.3"/>
  <cols>
    <col min="1" max="1" width="14" customWidth="1"/>
    <col min="2" max="2" width="13" customWidth="1"/>
    <col min="3" max="3" width="15" customWidth="1"/>
  </cols>
  <sheetData>
    <row r="1" spans="1:3" x14ac:dyDescent="0.3">
      <c r="A1" s="1" t="s">
        <v>2</v>
      </c>
      <c r="B1" s="1" t="s">
        <v>90</v>
      </c>
      <c r="C1" s="1" t="s">
        <v>91</v>
      </c>
    </row>
    <row r="2" spans="1:3" x14ac:dyDescent="0.3">
      <c r="A2" s="2" t="s">
        <v>9</v>
      </c>
      <c r="B2" s="2" t="s">
        <v>92</v>
      </c>
      <c r="C2" s="2">
        <v>4.5</v>
      </c>
    </row>
    <row r="3" spans="1:3" x14ac:dyDescent="0.3">
      <c r="A3" s="2" t="s">
        <v>24</v>
      </c>
      <c r="B3" s="2" t="s">
        <v>92</v>
      </c>
      <c r="C3" s="2">
        <v>12</v>
      </c>
    </row>
    <row r="4" spans="1:3" x14ac:dyDescent="0.3">
      <c r="A4" s="2" t="s">
        <v>21</v>
      </c>
      <c r="B4" s="2" t="s">
        <v>92</v>
      </c>
      <c r="C4" s="2">
        <v>9</v>
      </c>
    </row>
    <row r="5" spans="1:3" x14ac:dyDescent="0.3">
      <c r="A5" s="2" t="s">
        <v>38</v>
      </c>
      <c r="B5" s="2" t="s">
        <v>93</v>
      </c>
      <c r="C5" s="2">
        <v>130</v>
      </c>
    </row>
    <row r="6" spans="1:3" x14ac:dyDescent="0.3">
      <c r="A6" s="2" t="s">
        <v>17</v>
      </c>
      <c r="B6" s="2" t="s">
        <v>92</v>
      </c>
      <c r="C6" s="2">
        <v>6</v>
      </c>
    </row>
    <row r="7" spans="1:3" x14ac:dyDescent="0.3">
      <c r="A7" s="2" t="s">
        <v>94</v>
      </c>
      <c r="B7" s="2" t="s">
        <v>95</v>
      </c>
      <c r="C7" s="2">
        <v>15</v>
      </c>
    </row>
    <row r="8" spans="1:3" x14ac:dyDescent="0.3">
      <c r="A8" s="2" t="s">
        <v>29</v>
      </c>
      <c r="B8" s="2" t="s">
        <v>96</v>
      </c>
      <c r="C8" s="2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Sales</vt:lpstr>
      <vt:lpstr>Orders</vt:lpstr>
      <vt:lpstr>Product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2026-08-29T06:58:25Z</dcterms:created>
  <dcterms:modified xsi:type="dcterms:W3CDTF">2026-08-29T14:28:28Z</dcterms:modified>
</cp:coreProperties>
</file>