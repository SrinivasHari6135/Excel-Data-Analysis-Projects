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D:\Data Analytics\Excel\"/>
    </mc:Choice>
  </mc:AlternateContent>
  <xr:revisionPtr revIDLastSave="0" documentId="13_ncr:1_{9118912B-28C4-4550-9F75-D7307160259B}" xr6:coauthVersionLast="37" xr6:coauthVersionMax="37" xr10:uidLastSave="{00000000-0000-0000-0000-000000000000}"/>
  <bookViews>
    <workbookView xWindow="0" yWindow="0" windowWidth="23040" windowHeight="8940" xr2:uid="{00000000-000D-0000-FFFF-FFFF00000000}"/>
  </bookViews>
  <sheets>
    <sheet name="Inventory Orders" sheetId="1" r:id="rId1"/>
    <sheet name="Product Master" sheetId="2" r:id="rId2"/>
    <sheet name="Analysis" sheetId="3" r:id="rId3"/>
  </sheets>
  <definedNames>
    <definedName name="Slicer_Category">#N/A</definedName>
    <definedName name="Slicer_Warehouse">#N/A</definedName>
  </definedNames>
  <calcPr calcId="162913"/>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2"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3" i="1"/>
  <c r="G4" i="1"/>
  <c r="G5" i="1"/>
  <c r="G6" i="1"/>
  <c r="G7" i="1"/>
  <c r="G8" i="1"/>
  <c r="G9" i="1"/>
  <c r="G10" i="1"/>
  <c r="G11" i="1"/>
  <c r="G2" i="1"/>
</calcChain>
</file>

<file path=xl/sharedStrings.xml><?xml version="1.0" encoding="utf-8"?>
<sst xmlns="http://schemas.openxmlformats.org/spreadsheetml/2006/main" count="291" uniqueCount="118">
  <si>
    <t>Order ID</t>
  </si>
  <si>
    <t>Order Date</t>
  </si>
  <si>
    <t>SKU</t>
  </si>
  <si>
    <t>Warehouse</t>
  </si>
  <si>
    <t>Units Ordered</t>
  </si>
  <si>
    <t>Unit Cost</t>
  </si>
  <si>
    <t>INV2001</t>
  </si>
  <si>
    <t>SKU107</t>
  </si>
  <si>
    <t>Bengaluru</t>
  </si>
  <si>
    <t>INV2002</t>
  </si>
  <si>
    <t>SKU104</t>
  </si>
  <si>
    <t>INV2003</t>
  </si>
  <si>
    <t>Hyderabad</t>
  </si>
  <si>
    <t>INV2004</t>
  </si>
  <si>
    <t>INV2005</t>
  </si>
  <si>
    <t>INV2006</t>
  </si>
  <si>
    <t>Mumbai</t>
  </si>
  <si>
    <t>INV2007</t>
  </si>
  <si>
    <t>SKU108</t>
  </si>
  <si>
    <t>INV2008</t>
  </si>
  <si>
    <t>SKU101</t>
  </si>
  <si>
    <t>Chennai</t>
  </si>
  <si>
    <t>INV2009</t>
  </si>
  <si>
    <t>INV2010</t>
  </si>
  <si>
    <t>INV2011</t>
  </si>
  <si>
    <t>INV2012</t>
  </si>
  <si>
    <t>SKU102</t>
  </si>
  <si>
    <t>INV2013</t>
  </si>
  <si>
    <t>INV2014</t>
  </si>
  <si>
    <t>Pune</t>
  </si>
  <si>
    <t>INV2015</t>
  </si>
  <si>
    <t>INV2016</t>
  </si>
  <si>
    <t>INV2017</t>
  </si>
  <si>
    <t>INV2018</t>
  </si>
  <si>
    <t>INV2019</t>
  </si>
  <si>
    <t>INV2020</t>
  </si>
  <si>
    <t>SKU106</t>
  </si>
  <si>
    <t>INV2021</t>
  </si>
  <si>
    <t>INV2022</t>
  </si>
  <si>
    <t>SKU103</t>
  </si>
  <si>
    <t>INV2023</t>
  </si>
  <si>
    <t>INV2024</t>
  </si>
  <si>
    <t>INV2025</t>
  </si>
  <si>
    <t>INV2026</t>
  </si>
  <si>
    <t>INV2027</t>
  </si>
  <si>
    <t>SKU105</t>
  </si>
  <si>
    <t>INV2028</t>
  </si>
  <si>
    <t>INV2029</t>
  </si>
  <si>
    <t>INV2030</t>
  </si>
  <si>
    <t>INV2031</t>
  </si>
  <si>
    <t>INV2032</t>
  </si>
  <si>
    <t>INV2033</t>
  </si>
  <si>
    <t>INV2034</t>
  </si>
  <si>
    <t>INV2035</t>
  </si>
  <si>
    <t>INV2036</t>
  </si>
  <si>
    <t>INV2037</t>
  </si>
  <si>
    <t>INV2038</t>
  </si>
  <si>
    <t>INV2039</t>
  </si>
  <si>
    <t>INV2040</t>
  </si>
  <si>
    <t>INV2041</t>
  </si>
  <si>
    <t>INV2042</t>
  </si>
  <si>
    <t>INV2043</t>
  </si>
  <si>
    <t>INV2044</t>
  </si>
  <si>
    <t>INV2045</t>
  </si>
  <si>
    <t>INV2046</t>
  </si>
  <si>
    <t>INV2047</t>
  </si>
  <si>
    <t>INV2048</t>
  </si>
  <si>
    <t>INV2049</t>
  </si>
  <si>
    <t>INV2050</t>
  </si>
  <si>
    <t>INV2051</t>
  </si>
  <si>
    <t>INV2052</t>
  </si>
  <si>
    <t>INV2053</t>
  </si>
  <si>
    <t>INV2054</t>
  </si>
  <si>
    <t>INV2055</t>
  </si>
  <si>
    <t>INV2056</t>
  </si>
  <si>
    <t>INV2057</t>
  </si>
  <si>
    <t>INV2058</t>
  </si>
  <si>
    <t>INV2059</t>
  </si>
  <si>
    <t>INV2060</t>
  </si>
  <si>
    <t>INV2061</t>
  </si>
  <si>
    <t>INV2062</t>
  </si>
  <si>
    <t>INV2063</t>
  </si>
  <si>
    <t>INV2064</t>
  </si>
  <si>
    <t>INV2065</t>
  </si>
  <si>
    <t>INV2066</t>
  </si>
  <si>
    <t>INV2067</t>
  </si>
  <si>
    <t>INV2068</t>
  </si>
  <si>
    <t>INV2069</t>
  </si>
  <si>
    <t>INV2070</t>
  </si>
  <si>
    <t>INV2071</t>
  </si>
  <si>
    <t>INV2072</t>
  </si>
  <si>
    <t>INV2073</t>
  </si>
  <si>
    <t>INV2074</t>
  </si>
  <si>
    <t>INV2075</t>
  </si>
  <si>
    <t>INV2076</t>
  </si>
  <si>
    <t>INV2077</t>
  </si>
  <si>
    <t>INV2078</t>
  </si>
  <si>
    <t>INV2079</t>
  </si>
  <si>
    <t>INV2080</t>
  </si>
  <si>
    <t>Product Name</t>
  </si>
  <si>
    <t>Category</t>
  </si>
  <si>
    <t>Reorder Level</t>
  </si>
  <si>
    <t>Cotton T-Shirt</t>
  </si>
  <si>
    <t>Apparel</t>
  </si>
  <si>
    <t>Denim Jeans</t>
  </si>
  <si>
    <t>Running Shoes</t>
  </si>
  <si>
    <t>Footwear</t>
  </si>
  <si>
    <t>Leather Wallet</t>
  </si>
  <si>
    <t>Accessories</t>
  </si>
  <si>
    <t>Backpack</t>
  </si>
  <si>
    <t>Sunglasses</t>
  </si>
  <si>
    <t>Wrist Watch</t>
  </si>
  <si>
    <t>Formal Shirt</t>
  </si>
  <si>
    <t>Total Cost</t>
  </si>
  <si>
    <t>Sum of Total Cost</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</si>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</sst>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Calibri"/>
      <family val="2"/>
      <scheme val="minor"/>
    </font>
    <font>
      <b/>
      <sz val="11"/>
      <color rgb="FFFFFFFF"/>
      <name val="Calibri"/>
    </font>
    <font>
      <sz val="11"/>
      <name val="Calibri"/>
    </font>
  </fonts>
  <fills count="3">
    <fill>
      <patternFill patternType="none"/>
    </fill>
    <fill>
      <patternFill patternType="gray125"/>
    </fill>
    <fill>
      <patternFill patternType="solid">
        <fgColor rgb="FF6A1B9A"/>
        <bgColor rgb="FF6A1B9A"/>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0" borderId="0" xfId="0" applyFont="1"/>
    <xf numFmtId="164" fontId="2" fillId="0" borderId="0" xfId="0" applyNumberFormat="1" applyFon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518160</xdr:colOff>
      <xdr:row>1</xdr:row>
      <xdr:rowOff>99060</xdr:rowOff>
    </xdr:from>
    <xdr:to>
      <xdr:col>8</xdr:col>
      <xdr:colOff>518160</xdr:colOff>
      <xdr:row>15</xdr:row>
      <xdr:rowOff>5715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A3206C62-09DC-46D5-8DA9-9B2294B296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4820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403860</xdr:colOff>
      <xdr:row>9</xdr:row>
      <xdr:rowOff>7620</xdr:rowOff>
    </xdr:from>
    <xdr:to>
      <xdr:col>5</xdr:col>
      <xdr:colOff>259080</xdr:colOff>
      <xdr:row>22</xdr:row>
      <xdr:rowOff>97155</xdr:rowOff>
    </xdr:to>
    <mc:AlternateContent xmlns:mc="http://schemas.openxmlformats.org/markup-compatibility/2006">
      <mc:Choice xmlns:a14="http://schemas.microsoft.com/office/drawing/2010/main" Requires="a14">
        <xdr:graphicFrame macro="">
          <xdr:nvGraphicFramePr>
            <xdr:cNvPr id="3" name="Warehouse">
              <a:extLst>
                <a:ext uri="{FF2B5EF4-FFF2-40B4-BE49-F238E27FC236}">
                  <a16:creationId xmlns:a16="http://schemas.microsoft.com/office/drawing/2014/main" id="{C2B5CFFF-6A66-4005-AD36-88708170B5F2}"/>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256032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5.47838148148" createdVersion="6" refreshedVersion="6" minRefreshableVersion="3" recordCount="80" xr:uid="{B6497CBE-4F21-4C15-B02F-723ABBC8B5B9}">
  <cacheSource type="worksheet">
    <worksheetSource ref="A1:J81" sheet="Inventory Orders"/>
  </cacheSource>
  <cacheFields count="10">
    <cacheField name="Order ID" numFmtId="0">
      <sharedItems/>
    </cacheField>
    <cacheField name="Order Date" numFmtId="164">
      <sharedItems containsSemiMixedTypes="0" containsNonDate="0" containsDate="1" containsString="0" minDate="2026-05-04T00:00:00" maxDate="2026-08-29T00:00:00"/>
    </cacheField>
    <cacheField name="SKU" numFmtId="0">
      <sharedItems/>
    </cacheField>
    <cacheField name="Warehouse" numFmtId="0">
      <sharedItems count="5">
        <s v="Chennai"/>
        <s v="Bengaluru"/>
        <s v="Pune"/>
        <s v="Mumbai"/>
        <s v="Hyderabad"/>
      </sharedItems>
    </cacheField>
    <cacheField name="Units Ordered" numFmtId="0">
      <sharedItems containsSemiMixedTypes="0" containsString="0" containsNumber="1" containsInteger="1" minValue="5" maxValue="50"/>
    </cacheField>
    <cacheField name="Unit Cost" numFmtId="0">
      <sharedItems containsSemiMixedTypes="0" containsString="0" containsNumber="1" minValue="68.709999999999994" maxValue="798.17"/>
    </cacheField>
    <cacheField name="Product Name" numFmtId="0">
      <sharedItems/>
    </cacheField>
    <cacheField name="Category" numFmtId="0">
      <sharedItems count="3">
        <s v="Apparel"/>
        <s v="Footwear"/>
        <s v="Accessories"/>
      </sharedItems>
    </cacheField>
    <cacheField name="Reorder Level" numFmtId="0">
      <sharedItems containsSemiMixedTypes="0" containsString="0" containsNumber="1" containsInteger="1" minValue="40" maxValue="150"/>
    </cacheField>
    <cacheField name="Total Cost" numFmtId="0">
      <sharedItems containsSemiMixedTypes="0" containsString="0" containsNumber="1" minValue="687.09999999999991" maxValue="38620.5"/>
    </cacheField>
  </cacheFields>
  <extLst>
    <ext xmlns:x14="http://schemas.microsoft.com/office/spreadsheetml/2009/9/main" uri="{725AE2AE-9491-48be-B2B4-4EB974FC3084}">
      <x14:pivotCacheDefinition pivotCacheId="2044246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INV2008"/>
    <d v="2026-06-17T00:00:00"/>
    <s v="SKU101"/>
    <x v="0"/>
    <n v="30"/>
    <n v="663.13"/>
    <s v="Cotton T-Shirt"/>
    <x v="0"/>
    <n v="100"/>
    <n v="19893.900000000001"/>
  </r>
  <r>
    <s v="INV2009"/>
    <d v="2026-05-16T00:00:00"/>
    <s v="SKU101"/>
    <x v="1"/>
    <n v="10"/>
    <n v="464"/>
    <s v="Cotton T-Shirt"/>
    <x v="0"/>
    <n v="100"/>
    <n v="4640"/>
  </r>
  <r>
    <s v="INV2017"/>
    <d v="2026-07-03T00:00:00"/>
    <s v="SKU101"/>
    <x v="1"/>
    <n v="5"/>
    <n v="462.82"/>
    <s v="Cotton T-Shirt"/>
    <x v="0"/>
    <n v="100"/>
    <n v="2314.1"/>
  </r>
  <r>
    <s v="INV2024"/>
    <d v="2026-07-15T00:00:00"/>
    <s v="SKU101"/>
    <x v="2"/>
    <n v="20"/>
    <n v="429.6"/>
    <s v="Cotton T-Shirt"/>
    <x v="0"/>
    <n v="100"/>
    <n v="8592"/>
  </r>
  <r>
    <s v="INV2035"/>
    <d v="2026-07-31T00:00:00"/>
    <s v="SKU101"/>
    <x v="2"/>
    <n v="25"/>
    <n v="294.63"/>
    <s v="Cotton T-Shirt"/>
    <x v="0"/>
    <n v="100"/>
    <n v="7365.75"/>
  </r>
  <r>
    <s v="INV2042"/>
    <d v="2026-05-26T00:00:00"/>
    <s v="SKU101"/>
    <x v="3"/>
    <n v="30"/>
    <n v="428.66"/>
    <s v="Cotton T-Shirt"/>
    <x v="0"/>
    <n v="100"/>
    <n v="12859.800000000001"/>
  </r>
  <r>
    <s v="INV2043"/>
    <d v="2026-08-04T00:00:00"/>
    <s v="SKU101"/>
    <x v="4"/>
    <n v="20"/>
    <n v="397.91"/>
    <s v="Cotton T-Shirt"/>
    <x v="0"/>
    <n v="100"/>
    <n v="7958.2000000000007"/>
  </r>
  <r>
    <s v="INV2062"/>
    <d v="2026-07-31T00:00:00"/>
    <s v="SKU101"/>
    <x v="0"/>
    <n v="15"/>
    <n v="201.53"/>
    <s v="Cotton T-Shirt"/>
    <x v="0"/>
    <n v="100"/>
    <n v="3022.95"/>
  </r>
  <r>
    <s v="INV2075"/>
    <d v="2026-05-31T00:00:00"/>
    <s v="SKU101"/>
    <x v="3"/>
    <n v="10"/>
    <n v="120.89"/>
    <s v="Cotton T-Shirt"/>
    <x v="0"/>
    <n v="100"/>
    <n v="1208.9000000000001"/>
  </r>
  <r>
    <s v="INV2012"/>
    <d v="2026-05-27T00:00:00"/>
    <s v="SKU102"/>
    <x v="4"/>
    <n v="25"/>
    <n v="407.24"/>
    <s v="Denim Jeans"/>
    <x v="0"/>
    <n v="80"/>
    <n v="10181"/>
  </r>
  <r>
    <s v="INV2016"/>
    <d v="2026-05-04T00:00:00"/>
    <s v="SKU102"/>
    <x v="0"/>
    <n v="30"/>
    <n v="587"/>
    <s v="Denim Jeans"/>
    <x v="0"/>
    <n v="80"/>
    <n v="17610"/>
  </r>
  <r>
    <s v="INV2019"/>
    <d v="2026-07-19T00:00:00"/>
    <s v="SKU102"/>
    <x v="0"/>
    <n v="30"/>
    <n v="177.57"/>
    <s v="Denim Jeans"/>
    <x v="0"/>
    <n v="80"/>
    <n v="5327.0999999999995"/>
  </r>
  <r>
    <s v="INV2039"/>
    <d v="2026-05-19T00:00:00"/>
    <s v="SKU102"/>
    <x v="4"/>
    <n v="30"/>
    <n v="261"/>
    <s v="Denim Jeans"/>
    <x v="0"/>
    <n v="80"/>
    <n v="7830"/>
  </r>
  <r>
    <s v="INV2051"/>
    <d v="2026-06-23T00:00:00"/>
    <s v="SKU102"/>
    <x v="4"/>
    <n v="30"/>
    <n v="105"/>
    <s v="Denim Jeans"/>
    <x v="0"/>
    <n v="80"/>
    <n v="3150"/>
  </r>
  <r>
    <s v="INV2058"/>
    <d v="2026-08-26T00:00:00"/>
    <s v="SKU102"/>
    <x v="4"/>
    <n v="20"/>
    <n v="179.64"/>
    <s v="Denim Jeans"/>
    <x v="0"/>
    <n v="80"/>
    <n v="3592.7999999999997"/>
  </r>
  <r>
    <s v="INV2065"/>
    <d v="2026-06-29T00:00:00"/>
    <s v="SKU102"/>
    <x v="0"/>
    <n v="30"/>
    <n v="374.96"/>
    <s v="Denim Jeans"/>
    <x v="0"/>
    <n v="80"/>
    <n v="11248.8"/>
  </r>
  <r>
    <s v="INV2022"/>
    <d v="2026-08-13T00:00:00"/>
    <s v="SKU103"/>
    <x v="1"/>
    <n v="15"/>
    <n v="169.91"/>
    <s v="Running Shoes"/>
    <x v="1"/>
    <n v="60"/>
    <n v="2548.65"/>
  </r>
  <r>
    <s v="INV2029"/>
    <d v="2026-08-24T00:00:00"/>
    <s v="SKU103"/>
    <x v="0"/>
    <n v="30"/>
    <n v="596.35"/>
    <s v="Running Shoes"/>
    <x v="1"/>
    <n v="60"/>
    <n v="17890.5"/>
  </r>
  <r>
    <s v="INV2032"/>
    <d v="2026-06-16T00:00:00"/>
    <s v="SKU103"/>
    <x v="2"/>
    <n v="25"/>
    <n v="629.57000000000005"/>
    <s v="Running Shoes"/>
    <x v="1"/>
    <n v="60"/>
    <n v="15739.250000000002"/>
  </r>
  <r>
    <s v="INV2034"/>
    <d v="2026-06-05T00:00:00"/>
    <s v="SKU103"/>
    <x v="4"/>
    <n v="20"/>
    <n v="563.97"/>
    <s v="Running Shoes"/>
    <x v="1"/>
    <n v="60"/>
    <n v="11279.400000000001"/>
  </r>
  <r>
    <s v="INV2037"/>
    <d v="2026-08-12T00:00:00"/>
    <s v="SKU103"/>
    <x v="0"/>
    <n v="10"/>
    <n v="121.13"/>
    <s v="Running Shoes"/>
    <x v="1"/>
    <n v="60"/>
    <n v="1211.3"/>
  </r>
  <r>
    <s v="INV2038"/>
    <d v="2026-05-13T00:00:00"/>
    <s v="SKU103"/>
    <x v="4"/>
    <n v="30"/>
    <n v="385.14"/>
    <s v="Running Shoes"/>
    <x v="1"/>
    <n v="60"/>
    <n v="11554.199999999999"/>
  </r>
  <r>
    <s v="INV2041"/>
    <d v="2026-07-19T00:00:00"/>
    <s v="SKU103"/>
    <x v="0"/>
    <n v="10"/>
    <n v="693.12"/>
    <s v="Running Shoes"/>
    <x v="1"/>
    <n v="60"/>
    <n v="6931.2"/>
  </r>
  <r>
    <s v="INV2068"/>
    <d v="2026-06-02T00:00:00"/>
    <s v="SKU103"/>
    <x v="3"/>
    <n v="10"/>
    <n v="228.79"/>
    <s v="Running Shoes"/>
    <x v="1"/>
    <n v="60"/>
    <n v="2287.9"/>
  </r>
  <r>
    <s v="INV2071"/>
    <d v="2026-06-05T00:00:00"/>
    <s v="SKU103"/>
    <x v="1"/>
    <n v="25"/>
    <n v="254.3"/>
    <s v="Running Shoes"/>
    <x v="1"/>
    <n v="60"/>
    <n v="6357.5"/>
  </r>
  <r>
    <s v="INV2077"/>
    <d v="2026-06-17T00:00:00"/>
    <s v="SKU103"/>
    <x v="0"/>
    <n v="25"/>
    <n v="643.79"/>
    <s v="Running Shoes"/>
    <x v="1"/>
    <n v="60"/>
    <n v="16094.75"/>
  </r>
  <r>
    <s v="INV2002"/>
    <d v="2026-08-16T00:00:00"/>
    <s v="SKU104"/>
    <x v="1"/>
    <n v="50"/>
    <n v="772.41"/>
    <s v="Leather Wallet"/>
    <x v="2"/>
    <n v="150"/>
    <n v="38620.5"/>
  </r>
  <r>
    <s v="INV2003"/>
    <d v="2026-05-24T00:00:00"/>
    <s v="SKU104"/>
    <x v="4"/>
    <n v="5"/>
    <n v="328.29"/>
    <s v="Leather Wallet"/>
    <x v="2"/>
    <n v="150"/>
    <n v="1641.45"/>
  </r>
  <r>
    <s v="INV2005"/>
    <d v="2026-05-30T00:00:00"/>
    <s v="SKU104"/>
    <x v="4"/>
    <n v="20"/>
    <n v="798.17"/>
    <s v="Leather Wallet"/>
    <x v="2"/>
    <n v="150"/>
    <n v="15963.4"/>
  </r>
  <r>
    <s v="INV2018"/>
    <d v="2026-08-04T00:00:00"/>
    <s v="SKU104"/>
    <x v="3"/>
    <n v="25"/>
    <n v="288.98"/>
    <s v="Leather Wallet"/>
    <x v="2"/>
    <n v="150"/>
    <n v="7224.5"/>
  </r>
  <r>
    <s v="INV2021"/>
    <d v="2026-06-09T00:00:00"/>
    <s v="SKU104"/>
    <x v="4"/>
    <n v="10"/>
    <n v="99.23"/>
    <s v="Leather Wallet"/>
    <x v="2"/>
    <n v="150"/>
    <n v="992.30000000000007"/>
  </r>
  <r>
    <s v="INV2023"/>
    <d v="2026-05-05T00:00:00"/>
    <s v="SKU104"/>
    <x v="1"/>
    <n v="10"/>
    <n v="771.07"/>
    <s v="Leather Wallet"/>
    <x v="2"/>
    <n v="150"/>
    <n v="7710.7000000000007"/>
  </r>
  <r>
    <s v="INV2025"/>
    <d v="2026-07-25T00:00:00"/>
    <s v="SKU104"/>
    <x v="0"/>
    <n v="10"/>
    <n v="471.36"/>
    <s v="Leather Wallet"/>
    <x v="2"/>
    <n v="150"/>
    <n v="4713.6000000000004"/>
  </r>
  <r>
    <s v="INV2049"/>
    <d v="2026-07-19T00:00:00"/>
    <s v="SKU104"/>
    <x v="4"/>
    <n v="25"/>
    <n v="661.02"/>
    <s v="Leather Wallet"/>
    <x v="2"/>
    <n v="150"/>
    <n v="16525.5"/>
  </r>
  <r>
    <s v="INV2059"/>
    <d v="2026-06-17T00:00:00"/>
    <s v="SKU104"/>
    <x v="1"/>
    <n v="30"/>
    <n v="524.45000000000005"/>
    <s v="Leather Wallet"/>
    <x v="2"/>
    <n v="150"/>
    <n v="15733.500000000002"/>
  </r>
  <r>
    <s v="INV2072"/>
    <d v="2026-05-25T00:00:00"/>
    <s v="SKU104"/>
    <x v="4"/>
    <n v="15"/>
    <n v="657.82"/>
    <s v="Leather Wallet"/>
    <x v="2"/>
    <n v="150"/>
    <n v="9867.3000000000011"/>
  </r>
  <r>
    <s v="INV2076"/>
    <d v="2026-06-09T00:00:00"/>
    <s v="SKU104"/>
    <x v="1"/>
    <n v="15"/>
    <n v="720.84"/>
    <s v="Leather Wallet"/>
    <x v="2"/>
    <n v="150"/>
    <n v="10812.6"/>
  </r>
  <r>
    <s v="INV2027"/>
    <d v="2026-05-07T00:00:00"/>
    <s v="SKU105"/>
    <x v="2"/>
    <n v="5"/>
    <n v="364.66"/>
    <s v="Backpack"/>
    <x v="2"/>
    <n v="90"/>
    <n v="1823.3000000000002"/>
  </r>
  <r>
    <s v="INV2030"/>
    <d v="2026-05-07T00:00:00"/>
    <s v="SKU105"/>
    <x v="0"/>
    <n v="30"/>
    <n v="444.22"/>
    <s v="Backpack"/>
    <x v="2"/>
    <n v="90"/>
    <n v="13326.6"/>
  </r>
  <r>
    <s v="INV2045"/>
    <d v="2026-05-30T00:00:00"/>
    <s v="SKU105"/>
    <x v="3"/>
    <n v="15"/>
    <n v="609.36"/>
    <s v="Backpack"/>
    <x v="2"/>
    <n v="90"/>
    <n v="9140.4"/>
  </r>
  <r>
    <s v="INV2060"/>
    <d v="2026-07-19T00:00:00"/>
    <s v="SKU105"/>
    <x v="0"/>
    <n v="20"/>
    <n v="737.51"/>
    <s v="Backpack"/>
    <x v="2"/>
    <n v="90"/>
    <n v="14750.2"/>
  </r>
  <r>
    <s v="INV2061"/>
    <d v="2026-06-19T00:00:00"/>
    <s v="SKU105"/>
    <x v="3"/>
    <n v="20"/>
    <n v="668.63"/>
    <s v="Backpack"/>
    <x v="2"/>
    <n v="90"/>
    <n v="13372.6"/>
  </r>
  <r>
    <s v="INV2064"/>
    <d v="2026-05-11T00:00:00"/>
    <s v="SKU105"/>
    <x v="3"/>
    <n v="20"/>
    <n v="606.77"/>
    <s v="Backpack"/>
    <x v="2"/>
    <n v="90"/>
    <n v="12135.4"/>
  </r>
  <r>
    <s v="INV2067"/>
    <d v="2026-05-25T00:00:00"/>
    <s v="SKU105"/>
    <x v="4"/>
    <n v="5"/>
    <n v="291.58"/>
    <s v="Backpack"/>
    <x v="2"/>
    <n v="90"/>
    <n v="1457.8999999999999"/>
  </r>
  <r>
    <s v="INV2069"/>
    <d v="2026-07-28T00:00:00"/>
    <s v="SKU105"/>
    <x v="1"/>
    <n v="10"/>
    <n v="755.55"/>
    <s v="Backpack"/>
    <x v="2"/>
    <n v="90"/>
    <n v="7555.5"/>
  </r>
  <r>
    <s v="INV2020"/>
    <d v="2026-06-14T00:00:00"/>
    <s v="SKU106"/>
    <x v="2"/>
    <n v="50"/>
    <n v="497.93"/>
    <s v="Sunglasses"/>
    <x v="2"/>
    <n v="120"/>
    <n v="24896.5"/>
  </r>
  <r>
    <s v="INV2040"/>
    <d v="2026-06-08T00:00:00"/>
    <s v="SKU106"/>
    <x v="1"/>
    <n v="20"/>
    <n v="715.97"/>
    <s v="Sunglasses"/>
    <x v="2"/>
    <n v="120"/>
    <n v="14319.400000000001"/>
  </r>
  <r>
    <s v="INV2048"/>
    <d v="2026-05-08T00:00:00"/>
    <s v="SKU106"/>
    <x v="3"/>
    <n v="15"/>
    <n v="268.70999999999998"/>
    <s v="Sunglasses"/>
    <x v="2"/>
    <n v="120"/>
    <n v="4030.6499999999996"/>
  </r>
  <r>
    <s v="INV2050"/>
    <d v="2026-05-26T00:00:00"/>
    <s v="SKU106"/>
    <x v="4"/>
    <n v="15"/>
    <n v="543.47"/>
    <s v="Sunglasses"/>
    <x v="2"/>
    <n v="120"/>
    <n v="8152.05"/>
  </r>
  <r>
    <s v="INV2066"/>
    <d v="2026-07-26T00:00:00"/>
    <s v="SKU106"/>
    <x v="2"/>
    <n v="30"/>
    <n v="486.26"/>
    <s v="Sunglasses"/>
    <x v="2"/>
    <n v="120"/>
    <n v="14587.8"/>
  </r>
  <r>
    <s v="INV2073"/>
    <d v="2026-08-28T00:00:00"/>
    <s v="SKU106"/>
    <x v="4"/>
    <n v="5"/>
    <n v="425.9"/>
    <s v="Sunglasses"/>
    <x v="2"/>
    <n v="120"/>
    <n v="2129.5"/>
  </r>
  <r>
    <s v="INV2001"/>
    <d v="2026-05-22T00:00:00"/>
    <s v="SKU107"/>
    <x v="1"/>
    <n v="30"/>
    <n v="260.94"/>
    <s v="Wrist Watch"/>
    <x v="2"/>
    <n v="40"/>
    <n v="7828.2"/>
  </r>
  <r>
    <s v="INV2004"/>
    <d v="2026-07-14T00:00:00"/>
    <s v="SKU107"/>
    <x v="4"/>
    <n v="10"/>
    <n v="645.30999999999995"/>
    <s v="Wrist Watch"/>
    <x v="2"/>
    <n v="40"/>
    <n v="6453.0999999999995"/>
  </r>
  <r>
    <s v="INV2006"/>
    <d v="2026-08-03T00:00:00"/>
    <s v="SKU107"/>
    <x v="3"/>
    <n v="20"/>
    <n v="75.55"/>
    <s v="Wrist Watch"/>
    <x v="2"/>
    <n v="40"/>
    <n v="1511"/>
  </r>
  <r>
    <s v="INV2010"/>
    <d v="2026-06-13T00:00:00"/>
    <s v="SKU107"/>
    <x v="1"/>
    <n v="10"/>
    <n v="190.18"/>
    <s v="Wrist Watch"/>
    <x v="2"/>
    <n v="40"/>
    <n v="1901.8000000000002"/>
  </r>
  <r>
    <s v="INV2013"/>
    <d v="2026-08-14T00:00:00"/>
    <s v="SKU107"/>
    <x v="0"/>
    <n v="15"/>
    <n v="742.38"/>
    <s v="Wrist Watch"/>
    <x v="2"/>
    <n v="40"/>
    <n v="11135.7"/>
  </r>
  <r>
    <s v="INV2014"/>
    <d v="2026-08-22T00:00:00"/>
    <s v="SKU107"/>
    <x v="2"/>
    <n v="15"/>
    <n v="765.88"/>
    <s v="Wrist Watch"/>
    <x v="2"/>
    <n v="40"/>
    <n v="11488.2"/>
  </r>
  <r>
    <s v="INV2015"/>
    <d v="2026-07-04T00:00:00"/>
    <s v="SKU107"/>
    <x v="2"/>
    <n v="20"/>
    <n v="339.94"/>
    <s v="Wrist Watch"/>
    <x v="2"/>
    <n v="40"/>
    <n v="6798.8"/>
  </r>
  <r>
    <s v="INV2026"/>
    <d v="2026-06-26T00:00:00"/>
    <s v="SKU107"/>
    <x v="1"/>
    <n v="5"/>
    <n v="677.75"/>
    <s v="Wrist Watch"/>
    <x v="2"/>
    <n v="40"/>
    <n v="3388.75"/>
  </r>
  <r>
    <s v="INV2028"/>
    <d v="2026-05-22T00:00:00"/>
    <s v="SKU107"/>
    <x v="4"/>
    <n v="50"/>
    <n v="303.56"/>
    <s v="Wrist Watch"/>
    <x v="2"/>
    <n v="40"/>
    <n v="15178"/>
  </r>
  <r>
    <s v="INV2036"/>
    <d v="2026-06-01T00:00:00"/>
    <s v="SKU107"/>
    <x v="2"/>
    <n v="30"/>
    <n v="354.2"/>
    <s v="Wrist Watch"/>
    <x v="2"/>
    <n v="40"/>
    <n v="10626"/>
  </r>
  <r>
    <s v="INV2044"/>
    <d v="2026-05-09T00:00:00"/>
    <s v="SKU107"/>
    <x v="3"/>
    <n v="10"/>
    <n v="690.83"/>
    <s v="Wrist Watch"/>
    <x v="2"/>
    <n v="40"/>
    <n v="6908.3"/>
  </r>
  <r>
    <s v="INV2046"/>
    <d v="2026-06-01T00:00:00"/>
    <s v="SKU107"/>
    <x v="0"/>
    <n v="15"/>
    <n v="594.61"/>
    <s v="Wrist Watch"/>
    <x v="2"/>
    <n v="40"/>
    <n v="8919.15"/>
  </r>
  <r>
    <s v="INV2054"/>
    <d v="2026-08-21T00:00:00"/>
    <s v="SKU107"/>
    <x v="4"/>
    <n v="10"/>
    <n v="68.709999999999994"/>
    <s v="Wrist Watch"/>
    <x v="2"/>
    <n v="40"/>
    <n v="687.09999999999991"/>
  </r>
  <r>
    <s v="INV2055"/>
    <d v="2026-07-24T00:00:00"/>
    <s v="SKU107"/>
    <x v="4"/>
    <n v="10"/>
    <n v="256.69"/>
    <s v="Wrist Watch"/>
    <x v="2"/>
    <n v="40"/>
    <n v="2566.9"/>
  </r>
  <r>
    <s v="INV2056"/>
    <d v="2026-07-15T00:00:00"/>
    <s v="SKU107"/>
    <x v="1"/>
    <n v="20"/>
    <n v="648.21"/>
    <s v="Wrist Watch"/>
    <x v="2"/>
    <n v="40"/>
    <n v="12964.2"/>
  </r>
  <r>
    <s v="INV2057"/>
    <d v="2026-06-21T00:00:00"/>
    <s v="SKU107"/>
    <x v="2"/>
    <n v="20"/>
    <n v="220.84"/>
    <s v="Wrist Watch"/>
    <x v="2"/>
    <n v="40"/>
    <n v="4416.8"/>
  </r>
  <r>
    <s v="INV2063"/>
    <d v="2026-08-21T00:00:00"/>
    <s v="SKU107"/>
    <x v="0"/>
    <n v="5"/>
    <n v="464.93"/>
    <s v="Wrist Watch"/>
    <x v="2"/>
    <n v="40"/>
    <n v="2324.65"/>
  </r>
  <r>
    <s v="INV2070"/>
    <d v="2026-06-29T00:00:00"/>
    <s v="SKU107"/>
    <x v="1"/>
    <n v="20"/>
    <n v="512.82000000000005"/>
    <s v="Wrist Watch"/>
    <x v="2"/>
    <n v="40"/>
    <n v="10256.400000000001"/>
  </r>
  <r>
    <s v="INV2074"/>
    <d v="2026-05-06T00:00:00"/>
    <s v="SKU107"/>
    <x v="3"/>
    <n v="20"/>
    <n v="575.30999999999995"/>
    <s v="Wrist Watch"/>
    <x v="2"/>
    <n v="40"/>
    <n v="11506.199999999999"/>
  </r>
  <r>
    <s v="INV2078"/>
    <d v="2026-08-14T00:00:00"/>
    <s v="SKU107"/>
    <x v="3"/>
    <n v="50"/>
    <n v="86.87"/>
    <s v="Wrist Watch"/>
    <x v="2"/>
    <n v="40"/>
    <n v="4343.5"/>
  </r>
  <r>
    <s v="INV2079"/>
    <d v="2026-05-25T00:00:00"/>
    <s v="SKU107"/>
    <x v="1"/>
    <n v="25"/>
    <n v="233.24"/>
    <s v="Wrist Watch"/>
    <x v="2"/>
    <n v="40"/>
    <n v="5831"/>
  </r>
  <r>
    <s v="INV2007"/>
    <d v="2026-06-12T00:00:00"/>
    <s v="SKU108"/>
    <x v="4"/>
    <n v="30"/>
    <n v="763.97"/>
    <s v="Formal Shirt"/>
    <x v="0"/>
    <n v="70"/>
    <n v="22919.100000000002"/>
  </r>
  <r>
    <s v="INV2011"/>
    <d v="2026-05-05T00:00:00"/>
    <s v="SKU108"/>
    <x v="0"/>
    <n v="5"/>
    <n v="635.19000000000005"/>
    <s v="Formal Shirt"/>
    <x v="0"/>
    <n v="70"/>
    <n v="3175.9500000000003"/>
  </r>
  <r>
    <s v="INV2031"/>
    <d v="2026-08-02T00:00:00"/>
    <s v="SKU108"/>
    <x v="4"/>
    <n v="10"/>
    <n v="724.58"/>
    <s v="Formal Shirt"/>
    <x v="0"/>
    <n v="70"/>
    <n v="7245.8"/>
  </r>
  <r>
    <s v="INV2033"/>
    <d v="2026-07-02T00:00:00"/>
    <s v="SKU108"/>
    <x v="2"/>
    <n v="10"/>
    <n v="450.75"/>
    <s v="Formal Shirt"/>
    <x v="0"/>
    <n v="70"/>
    <n v="4507.5"/>
  </r>
  <r>
    <s v="INV2047"/>
    <d v="2026-06-07T00:00:00"/>
    <s v="SKU108"/>
    <x v="3"/>
    <n v="5"/>
    <n v="459.06"/>
    <s v="Formal Shirt"/>
    <x v="0"/>
    <n v="70"/>
    <n v="2295.3000000000002"/>
  </r>
  <r>
    <s v="INV2052"/>
    <d v="2026-08-13T00:00:00"/>
    <s v="SKU108"/>
    <x v="3"/>
    <n v="25"/>
    <n v="760.29"/>
    <s v="Formal Shirt"/>
    <x v="0"/>
    <n v="70"/>
    <n v="19007.25"/>
  </r>
  <r>
    <s v="INV2053"/>
    <d v="2026-07-27T00:00:00"/>
    <s v="SKU108"/>
    <x v="1"/>
    <n v="25"/>
    <n v="434.76"/>
    <s v="Formal Shirt"/>
    <x v="0"/>
    <n v="70"/>
    <n v="10869"/>
  </r>
  <r>
    <s v="INV2080"/>
    <d v="2026-07-13T00:00:00"/>
    <s v="SKU108"/>
    <x v="4"/>
    <n v="30"/>
    <n v="486.55"/>
    <s v="Formal Shirt"/>
    <x v="0"/>
    <n v="70"/>
    <n v="145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4FA02-54EB-4009-A746-459E0A03957F}"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E8" firstHeaderRow="1" firstDataRow="2" firstDataCol="1"/>
  <pivotFields count="10">
    <pivotField showAll="0"/>
    <pivotField numFmtId="164" showAll="0"/>
    <pivotField showAll="0"/>
    <pivotField axis="axisRow" showAll="0">
      <items count="6">
        <item x="1"/>
        <item x="0"/>
        <item x="4"/>
        <item x="3"/>
        <item x="2"/>
        <item t="default"/>
      </items>
    </pivotField>
    <pivotField showAll="0"/>
    <pivotField showAll="0"/>
    <pivotField showAll="0"/>
    <pivotField axis="axisCol" showAll="0">
      <items count="4">
        <item x="2"/>
        <item x="0"/>
        <item x="1"/>
        <item t="default"/>
      </items>
    </pivotField>
    <pivotField showAll="0"/>
    <pivotField dataField="1" showAll="0"/>
  </pivotFields>
  <rowFields count="1">
    <field x="3"/>
  </rowFields>
  <rowItems count="6">
    <i>
      <x/>
    </i>
    <i>
      <x v="1"/>
    </i>
    <i>
      <x v="2"/>
    </i>
    <i>
      <x v="3"/>
    </i>
    <i>
      <x v="4"/>
    </i>
    <i t="grand">
      <x/>
    </i>
  </rowItems>
  <colFields count="1">
    <field x="7"/>
  </colFields>
  <colItems count="4">
    <i>
      <x/>
    </i>
    <i>
      <x v="1"/>
    </i>
    <i>
      <x v="2"/>
    </i>
    <i t="grand">
      <x/>
    </i>
  </colItems>
  <dataFields count="1">
    <dataField name="Sum of Total Cos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5084E7-E028-4BD1-AEBF-F67866D79BC0}" sourceName="Category">
  <pivotTables>
    <pivotTable tabId="3" name="PivotTable2"/>
  </pivotTables>
  <data>
    <tabular pivotCacheId="204424679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F81B4628-F478-4815-922F-3F1692BCE873}" sourceName="Warehouse">
  <pivotTables>
    <pivotTable tabId="3" name="PivotTable2"/>
  </pivotTables>
  <data>
    <tabular pivotCacheId="2044246798">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A5F4CF3-7177-4993-9D41-2523EF2D7C86}" cache="Slicer_Category" caption="Category" rowHeight="234950"/>
  <slicer name="Warehouse" xr10:uid="{AB87B83D-13E7-40A7-9BBD-6FD283C7FF2F}" cache="Slicer_Warehouse" caption="Warehous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workbookViewId="0">
      <selection activeCell="A2" sqref="A2"/>
    </sheetView>
  </sheetViews>
  <sheetFormatPr defaultRowHeight="14.4"/>
  <cols>
    <col min="1" max="1" width="8" bestFit="1" customWidth="1"/>
    <col min="2" max="2" width="10.33203125" bestFit="1" customWidth="1"/>
    <col min="3" max="3" width="7.21875" bestFit="1" customWidth="1"/>
    <col min="4" max="4" width="10.5546875" bestFit="1" customWidth="1"/>
    <col min="5" max="5" width="12.6640625" bestFit="1" customWidth="1"/>
    <col min="6" max="6" width="8.6640625" bestFit="1" customWidth="1"/>
    <col min="7" max="7" width="13.21875" bestFit="1" customWidth="1"/>
    <col min="8" max="8" width="10.44140625" bestFit="1" customWidth="1"/>
  </cols>
  <sheetData>
    <row r="1" spans="1:10">
      <c r="A1" s="1" t="s">
        <v>0</v>
      </c>
      <c r="B1" s="1" t="s">
        <v>1</v>
      </c>
      <c r="C1" s="1" t="s">
        <v>2</v>
      </c>
      <c r="D1" s="1" t="s">
        <v>3</v>
      </c>
      <c r="E1" s="1" t="s">
        <v>4</v>
      </c>
      <c r="F1" s="1" t="s">
        <v>5</v>
      </c>
      <c r="G1" s="1" t="s">
        <v>99</v>
      </c>
      <c r="H1" s="1" t="s">
        <v>100</v>
      </c>
      <c r="I1" s="1" t="s">
        <v>101</v>
      </c>
      <c r="J1" s="1" t="s">
        <v>113</v>
      </c>
    </row>
    <row r="2" spans="1:10">
      <c r="A2" s="2" t="s">
        <v>19</v>
      </c>
      <c r="B2" s="3">
        <v>46190</v>
      </c>
      <c r="C2" s="2" t="s">
        <v>20</v>
      </c>
      <c r="D2" s="2" t="s">
        <v>21</v>
      </c>
      <c r="E2" s="2">
        <v>30</v>
      </c>
      <c r="F2" s="2">
        <v>663.13</v>
      </c>
      <c r="G2" t="str">
        <f>INDEX('Product Master'!$B$2:$B$9,MATCH(C2,'Product Master'!$A$2:$A$9,0))</f>
        <v>Cotton T-Shirt</v>
      </c>
      <c r="H2" t="str">
        <f>INDEX('Product Master'!$C$2:$C$9,MATCH(C2,'Product Master'!$A$2:$A$9,0))</f>
        <v>Apparel</v>
      </c>
      <c r="I2">
        <f>INDEX('Product Master'!$D$2:$D$9,MATCH(C2,'Product Master'!$A$2:$A$9,0))</f>
        <v>100</v>
      </c>
      <c r="J2">
        <f>E2*F2</f>
        <v>19893.900000000001</v>
      </c>
    </row>
    <row r="3" spans="1:10">
      <c r="A3" s="2" t="s">
        <v>22</v>
      </c>
      <c r="B3" s="3">
        <v>46158</v>
      </c>
      <c r="C3" s="2" t="s">
        <v>20</v>
      </c>
      <c r="D3" s="2" t="s">
        <v>8</v>
      </c>
      <c r="E3" s="2">
        <v>10</v>
      </c>
      <c r="F3" s="2">
        <v>464</v>
      </c>
      <c r="G3" t="str">
        <f>INDEX('Product Master'!$B$2:$B$9,MATCH(C3,'Product Master'!$A$2:$A$9,0))</f>
        <v>Cotton T-Shirt</v>
      </c>
      <c r="H3" t="str">
        <f>INDEX('Product Master'!$C$2:$C$9,MATCH(C3,'Product Master'!$A$2:$A$9,0))</f>
        <v>Apparel</v>
      </c>
      <c r="I3">
        <f>INDEX('Product Master'!$D$2:$D$9,MATCH(C3,'Product Master'!$A$2:$A$9,0))</f>
        <v>100</v>
      </c>
      <c r="J3">
        <f t="shared" ref="J3:J66" si="0">E3*F3</f>
        <v>4640</v>
      </c>
    </row>
    <row r="4" spans="1:10">
      <c r="A4" s="2" t="s">
        <v>32</v>
      </c>
      <c r="B4" s="3">
        <v>46206</v>
      </c>
      <c r="C4" s="2" t="s">
        <v>20</v>
      </c>
      <c r="D4" s="2" t="s">
        <v>8</v>
      </c>
      <c r="E4" s="2">
        <v>5</v>
      </c>
      <c r="F4" s="2">
        <v>462.82</v>
      </c>
      <c r="G4" t="str">
        <f>INDEX('Product Master'!$B$2:$B$9,MATCH(C4,'Product Master'!$A$2:$A$9,0))</f>
        <v>Cotton T-Shirt</v>
      </c>
      <c r="H4" t="str">
        <f>INDEX('Product Master'!$C$2:$C$9,MATCH(C4,'Product Master'!$A$2:$A$9,0))</f>
        <v>Apparel</v>
      </c>
      <c r="I4">
        <f>INDEX('Product Master'!$D$2:$D$9,MATCH(C4,'Product Master'!$A$2:$A$9,0))</f>
        <v>100</v>
      </c>
      <c r="J4">
        <f t="shared" si="0"/>
        <v>2314.1</v>
      </c>
    </row>
    <row r="5" spans="1:10">
      <c r="A5" s="2" t="s">
        <v>41</v>
      </c>
      <c r="B5" s="3">
        <v>46218</v>
      </c>
      <c r="C5" s="2" t="s">
        <v>20</v>
      </c>
      <c r="D5" s="2" t="s">
        <v>29</v>
      </c>
      <c r="E5" s="2">
        <v>20</v>
      </c>
      <c r="F5" s="2">
        <v>429.6</v>
      </c>
      <c r="G5" t="str">
        <f>INDEX('Product Master'!$B$2:$B$9,MATCH(C5,'Product Master'!$A$2:$A$9,0))</f>
        <v>Cotton T-Shirt</v>
      </c>
      <c r="H5" t="str">
        <f>INDEX('Product Master'!$C$2:$C$9,MATCH(C5,'Product Master'!$A$2:$A$9,0))</f>
        <v>Apparel</v>
      </c>
      <c r="I5">
        <f>INDEX('Product Master'!$D$2:$D$9,MATCH(C5,'Product Master'!$A$2:$A$9,0))</f>
        <v>100</v>
      </c>
      <c r="J5">
        <f t="shared" si="0"/>
        <v>8592</v>
      </c>
    </row>
    <row r="6" spans="1:10">
      <c r="A6" s="2" t="s">
        <v>53</v>
      </c>
      <c r="B6" s="3">
        <v>46234</v>
      </c>
      <c r="C6" s="2" t="s">
        <v>20</v>
      </c>
      <c r="D6" s="2" t="s">
        <v>29</v>
      </c>
      <c r="E6" s="2">
        <v>25</v>
      </c>
      <c r="F6" s="2">
        <v>294.63</v>
      </c>
      <c r="G6" t="str">
        <f>INDEX('Product Master'!$B$2:$B$9,MATCH(C6,'Product Master'!$A$2:$A$9,0))</f>
        <v>Cotton T-Shirt</v>
      </c>
      <c r="H6" t="str">
        <f>INDEX('Product Master'!$C$2:$C$9,MATCH(C6,'Product Master'!$A$2:$A$9,0))</f>
        <v>Apparel</v>
      </c>
      <c r="I6">
        <f>INDEX('Product Master'!$D$2:$D$9,MATCH(C6,'Product Master'!$A$2:$A$9,0))</f>
        <v>100</v>
      </c>
      <c r="J6">
        <f t="shared" si="0"/>
        <v>7365.75</v>
      </c>
    </row>
    <row r="7" spans="1:10">
      <c r="A7" s="2" t="s">
        <v>60</v>
      </c>
      <c r="B7" s="3">
        <v>46168</v>
      </c>
      <c r="C7" s="2" t="s">
        <v>20</v>
      </c>
      <c r="D7" s="2" t="s">
        <v>16</v>
      </c>
      <c r="E7" s="2">
        <v>30</v>
      </c>
      <c r="F7" s="2">
        <v>428.66</v>
      </c>
      <c r="G7" t="str">
        <f>INDEX('Product Master'!$B$2:$B$9,MATCH(C7,'Product Master'!$A$2:$A$9,0))</f>
        <v>Cotton T-Shirt</v>
      </c>
      <c r="H7" t="str">
        <f>INDEX('Product Master'!$C$2:$C$9,MATCH(C7,'Product Master'!$A$2:$A$9,0))</f>
        <v>Apparel</v>
      </c>
      <c r="I7">
        <f>INDEX('Product Master'!$D$2:$D$9,MATCH(C7,'Product Master'!$A$2:$A$9,0))</f>
        <v>100</v>
      </c>
      <c r="J7">
        <f t="shared" si="0"/>
        <v>12859.800000000001</v>
      </c>
    </row>
    <row r="8" spans="1:10">
      <c r="A8" s="2" t="s">
        <v>61</v>
      </c>
      <c r="B8" s="3">
        <v>46238</v>
      </c>
      <c r="C8" s="2" t="s">
        <v>20</v>
      </c>
      <c r="D8" s="2" t="s">
        <v>12</v>
      </c>
      <c r="E8" s="2">
        <v>20</v>
      </c>
      <c r="F8" s="2">
        <v>397.91</v>
      </c>
      <c r="G8" t="str">
        <f>INDEX('Product Master'!$B$2:$B$9,MATCH(C8,'Product Master'!$A$2:$A$9,0))</f>
        <v>Cotton T-Shirt</v>
      </c>
      <c r="H8" t="str">
        <f>INDEX('Product Master'!$C$2:$C$9,MATCH(C8,'Product Master'!$A$2:$A$9,0))</f>
        <v>Apparel</v>
      </c>
      <c r="I8">
        <f>INDEX('Product Master'!$D$2:$D$9,MATCH(C8,'Product Master'!$A$2:$A$9,0))</f>
        <v>100</v>
      </c>
      <c r="J8">
        <f t="shared" si="0"/>
        <v>7958.2000000000007</v>
      </c>
    </row>
    <row r="9" spans="1:10">
      <c r="A9" s="2" t="s">
        <v>80</v>
      </c>
      <c r="B9" s="3">
        <v>46234</v>
      </c>
      <c r="C9" s="2" t="s">
        <v>20</v>
      </c>
      <c r="D9" s="2" t="s">
        <v>21</v>
      </c>
      <c r="E9" s="2">
        <v>15</v>
      </c>
      <c r="F9" s="2">
        <v>201.53</v>
      </c>
      <c r="G9" t="str">
        <f>INDEX('Product Master'!$B$2:$B$9,MATCH(C9,'Product Master'!$A$2:$A$9,0))</f>
        <v>Cotton T-Shirt</v>
      </c>
      <c r="H9" t="str">
        <f>INDEX('Product Master'!$C$2:$C$9,MATCH(C9,'Product Master'!$A$2:$A$9,0))</f>
        <v>Apparel</v>
      </c>
      <c r="I9">
        <f>INDEX('Product Master'!$D$2:$D$9,MATCH(C9,'Product Master'!$A$2:$A$9,0))</f>
        <v>100</v>
      </c>
      <c r="J9">
        <f t="shared" si="0"/>
        <v>3022.95</v>
      </c>
    </row>
    <row r="10" spans="1:10">
      <c r="A10" s="2" t="s">
        <v>93</v>
      </c>
      <c r="B10" s="3">
        <v>46173</v>
      </c>
      <c r="C10" s="2" t="s">
        <v>20</v>
      </c>
      <c r="D10" s="2" t="s">
        <v>16</v>
      </c>
      <c r="E10" s="2">
        <v>10</v>
      </c>
      <c r="F10" s="2">
        <v>120.89</v>
      </c>
      <c r="G10" t="str">
        <f>INDEX('Product Master'!$B$2:$B$9,MATCH(C10,'Product Master'!$A$2:$A$9,0))</f>
        <v>Cotton T-Shirt</v>
      </c>
      <c r="H10" t="str">
        <f>INDEX('Product Master'!$C$2:$C$9,MATCH(C10,'Product Master'!$A$2:$A$9,0))</f>
        <v>Apparel</v>
      </c>
      <c r="I10">
        <f>INDEX('Product Master'!$D$2:$D$9,MATCH(C10,'Product Master'!$A$2:$A$9,0))</f>
        <v>100</v>
      </c>
      <c r="J10">
        <f t="shared" si="0"/>
        <v>1208.9000000000001</v>
      </c>
    </row>
    <row r="11" spans="1:10">
      <c r="A11" s="2" t="s">
        <v>25</v>
      </c>
      <c r="B11" s="3">
        <v>46169</v>
      </c>
      <c r="C11" s="2" t="s">
        <v>26</v>
      </c>
      <c r="D11" s="2" t="s">
        <v>12</v>
      </c>
      <c r="E11" s="2">
        <v>25</v>
      </c>
      <c r="F11" s="2">
        <v>407.24</v>
      </c>
      <c r="G11" t="str">
        <f>INDEX('Product Master'!$B$2:$B$9,MATCH(C11,'Product Master'!$A$2:$A$9,0))</f>
        <v>Denim Jeans</v>
      </c>
      <c r="H11" t="str">
        <f>INDEX('Product Master'!$C$2:$C$9,MATCH(C11,'Product Master'!$A$2:$A$9,0))</f>
        <v>Apparel</v>
      </c>
      <c r="I11">
        <f>INDEX('Product Master'!$D$2:$D$9,MATCH(C11,'Product Master'!$A$2:$A$9,0))</f>
        <v>80</v>
      </c>
      <c r="J11">
        <f t="shared" si="0"/>
        <v>10181</v>
      </c>
    </row>
    <row r="12" spans="1:10">
      <c r="A12" s="2" t="s">
        <v>31</v>
      </c>
      <c r="B12" s="3">
        <v>46146</v>
      </c>
      <c r="C12" s="2" t="s">
        <v>26</v>
      </c>
      <c r="D12" s="2" t="s">
        <v>21</v>
      </c>
      <c r="E12" s="2">
        <v>30</v>
      </c>
      <c r="F12" s="2">
        <v>587</v>
      </c>
      <c r="G12" t="str">
        <f>INDEX('Product Master'!$B$2:$B$9,MATCH(C12,'Product Master'!$A$2:$A$9,0))</f>
        <v>Denim Jeans</v>
      </c>
      <c r="H12" t="str">
        <f>INDEX('Product Master'!$C$2:$C$9,MATCH(C12,'Product Master'!$A$2:$A$9,0))</f>
        <v>Apparel</v>
      </c>
      <c r="I12">
        <f>INDEX('Product Master'!$D$2:$D$9,MATCH(C12,'Product Master'!$A$2:$A$9,0))</f>
        <v>80</v>
      </c>
      <c r="J12">
        <f t="shared" si="0"/>
        <v>17610</v>
      </c>
    </row>
    <row r="13" spans="1:10">
      <c r="A13" s="2" t="s">
        <v>34</v>
      </c>
      <c r="B13" s="3">
        <v>46222</v>
      </c>
      <c r="C13" s="2" t="s">
        <v>26</v>
      </c>
      <c r="D13" s="2" t="s">
        <v>21</v>
      </c>
      <c r="E13" s="2">
        <v>30</v>
      </c>
      <c r="F13" s="2">
        <v>177.57</v>
      </c>
      <c r="G13" t="str">
        <f>INDEX('Product Master'!$B$2:$B$9,MATCH(C13,'Product Master'!$A$2:$A$9,0))</f>
        <v>Denim Jeans</v>
      </c>
      <c r="H13" t="str">
        <f>INDEX('Product Master'!$C$2:$C$9,MATCH(C13,'Product Master'!$A$2:$A$9,0))</f>
        <v>Apparel</v>
      </c>
      <c r="I13">
        <f>INDEX('Product Master'!$D$2:$D$9,MATCH(C13,'Product Master'!$A$2:$A$9,0))</f>
        <v>80</v>
      </c>
      <c r="J13">
        <f t="shared" si="0"/>
        <v>5327.0999999999995</v>
      </c>
    </row>
    <row r="14" spans="1:10">
      <c r="A14" s="2" t="s">
        <v>57</v>
      </c>
      <c r="B14" s="3">
        <v>46161</v>
      </c>
      <c r="C14" s="2" t="s">
        <v>26</v>
      </c>
      <c r="D14" s="2" t="s">
        <v>12</v>
      </c>
      <c r="E14" s="2">
        <v>30</v>
      </c>
      <c r="F14" s="2">
        <v>261</v>
      </c>
      <c r="G14" t="str">
        <f>INDEX('Product Master'!$B$2:$B$9,MATCH(C14,'Product Master'!$A$2:$A$9,0))</f>
        <v>Denim Jeans</v>
      </c>
      <c r="H14" t="str">
        <f>INDEX('Product Master'!$C$2:$C$9,MATCH(C14,'Product Master'!$A$2:$A$9,0))</f>
        <v>Apparel</v>
      </c>
      <c r="I14">
        <f>INDEX('Product Master'!$D$2:$D$9,MATCH(C14,'Product Master'!$A$2:$A$9,0))</f>
        <v>80</v>
      </c>
      <c r="J14">
        <f t="shared" si="0"/>
        <v>7830</v>
      </c>
    </row>
    <row r="15" spans="1:10">
      <c r="A15" s="2" t="s">
        <v>69</v>
      </c>
      <c r="B15" s="3">
        <v>46196</v>
      </c>
      <c r="C15" s="2" t="s">
        <v>26</v>
      </c>
      <c r="D15" s="2" t="s">
        <v>12</v>
      </c>
      <c r="E15" s="2">
        <v>30</v>
      </c>
      <c r="F15" s="2">
        <v>105</v>
      </c>
      <c r="G15" t="str">
        <f>INDEX('Product Master'!$B$2:$B$9,MATCH(C15,'Product Master'!$A$2:$A$9,0))</f>
        <v>Denim Jeans</v>
      </c>
      <c r="H15" t="str">
        <f>INDEX('Product Master'!$C$2:$C$9,MATCH(C15,'Product Master'!$A$2:$A$9,0))</f>
        <v>Apparel</v>
      </c>
      <c r="I15">
        <f>INDEX('Product Master'!$D$2:$D$9,MATCH(C15,'Product Master'!$A$2:$A$9,0))</f>
        <v>80</v>
      </c>
      <c r="J15">
        <f t="shared" si="0"/>
        <v>3150</v>
      </c>
    </row>
    <row r="16" spans="1:10">
      <c r="A16" s="2" t="s">
        <v>76</v>
      </c>
      <c r="B16" s="3">
        <v>46260</v>
      </c>
      <c r="C16" s="2" t="s">
        <v>26</v>
      </c>
      <c r="D16" s="2" t="s">
        <v>12</v>
      </c>
      <c r="E16" s="2">
        <v>20</v>
      </c>
      <c r="F16" s="2">
        <v>179.64</v>
      </c>
      <c r="G16" t="str">
        <f>INDEX('Product Master'!$B$2:$B$9,MATCH(C16,'Product Master'!$A$2:$A$9,0))</f>
        <v>Denim Jeans</v>
      </c>
      <c r="H16" t="str">
        <f>INDEX('Product Master'!$C$2:$C$9,MATCH(C16,'Product Master'!$A$2:$A$9,0))</f>
        <v>Apparel</v>
      </c>
      <c r="I16">
        <f>INDEX('Product Master'!$D$2:$D$9,MATCH(C16,'Product Master'!$A$2:$A$9,0))</f>
        <v>80</v>
      </c>
      <c r="J16">
        <f t="shared" si="0"/>
        <v>3592.7999999999997</v>
      </c>
    </row>
    <row r="17" spans="1:10">
      <c r="A17" s="2" t="s">
        <v>83</v>
      </c>
      <c r="B17" s="3">
        <v>46202</v>
      </c>
      <c r="C17" s="2" t="s">
        <v>26</v>
      </c>
      <c r="D17" s="2" t="s">
        <v>21</v>
      </c>
      <c r="E17" s="2">
        <v>30</v>
      </c>
      <c r="F17" s="2">
        <v>374.96</v>
      </c>
      <c r="G17" t="str">
        <f>INDEX('Product Master'!$B$2:$B$9,MATCH(C17,'Product Master'!$A$2:$A$9,0))</f>
        <v>Denim Jeans</v>
      </c>
      <c r="H17" t="str">
        <f>INDEX('Product Master'!$C$2:$C$9,MATCH(C17,'Product Master'!$A$2:$A$9,0))</f>
        <v>Apparel</v>
      </c>
      <c r="I17">
        <f>INDEX('Product Master'!$D$2:$D$9,MATCH(C17,'Product Master'!$A$2:$A$9,0))</f>
        <v>80</v>
      </c>
      <c r="J17">
        <f t="shared" si="0"/>
        <v>11248.8</v>
      </c>
    </row>
    <row r="18" spans="1:10">
      <c r="A18" s="2" t="s">
        <v>38</v>
      </c>
      <c r="B18" s="3">
        <v>46247</v>
      </c>
      <c r="C18" s="2" t="s">
        <v>39</v>
      </c>
      <c r="D18" s="2" t="s">
        <v>8</v>
      </c>
      <c r="E18" s="2">
        <v>15</v>
      </c>
      <c r="F18" s="2">
        <v>169.91</v>
      </c>
      <c r="G18" t="str">
        <f>INDEX('Product Master'!$B$2:$B$9,MATCH(C18,'Product Master'!$A$2:$A$9,0))</f>
        <v>Running Shoes</v>
      </c>
      <c r="H18" t="str">
        <f>INDEX('Product Master'!$C$2:$C$9,MATCH(C18,'Product Master'!$A$2:$A$9,0))</f>
        <v>Footwear</v>
      </c>
      <c r="I18">
        <f>INDEX('Product Master'!$D$2:$D$9,MATCH(C18,'Product Master'!$A$2:$A$9,0))</f>
        <v>60</v>
      </c>
      <c r="J18">
        <f t="shared" si="0"/>
        <v>2548.65</v>
      </c>
    </row>
    <row r="19" spans="1:10">
      <c r="A19" s="2" t="s">
        <v>47</v>
      </c>
      <c r="B19" s="3">
        <v>46258</v>
      </c>
      <c r="C19" s="2" t="s">
        <v>39</v>
      </c>
      <c r="D19" s="2" t="s">
        <v>21</v>
      </c>
      <c r="E19" s="2">
        <v>30</v>
      </c>
      <c r="F19" s="2">
        <v>596.35</v>
      </c>
      <c r="G19" t="str">
        <f>INDEX('Product Master'!$B$2:$B$9,MATCH(C19,'Product Master'!$A$2:$A$9,0))</f>
        <v>Running Shoes</v>
      </c>
      <c r="H19" t="str">
        <f>INDEX('Product Master'!$C$2:$C$9,MATCH(C19,'Product Master'!$A$2:$A$9,0))</f>
        <v>Footwear</v>
      </c>
      <c r="I19">
        <f>INDEX('Product Master'!$D$2:$D$9,MATCH(C19,'Product Master'!$A$2:$A$9,0))</f>
        <v>60</v>
      </c>
      <c r="J19">
        <f t="shared" si="0"/>
        <v>17890.5</v>
      </c>
    </row>
    <row r="20" spans="1:10">
      <c r="A20" s="2" t="s">
        <v>50</v>
      </c>
      <c r="B20" s="3">
        <v>46189</v>
      </c>
      <c r="C20" s="2" t="s">
        <v>39</v>
      </c>
      <c r="D20" s="2" t="s">
        <v>29</v>
      </c>
      <c r="E20" s="2">
        <v>25</v>
      </c>
      <c r="F20" s="2">
        <v>629.57000000000005</v>
      </c>
      <c r="G20" t="str">
        <f>INDEX('Product Master'!$B$2:$B$9,MATCH(C20,'Product Master'!$A$2:$A$9,0))</f>
        <v>Running Shoes</v>
      </c>
      <c r="H20" t="str">
        <f>INDEX('Product Master'!$C$2:$C$9,MATCH(C20,'Product Master'!$A$2:$A$9,0))</f>
        <v>Footwear</v>
      </c>
      <c r="I20">
        <f>INDEX('Product Master'!$D$2:$D$9,MATCH(C20,'Product Master'!$A$2:$A$9,0))</f>
        <v>60</v>
      </c>
      <c r="J20">
        <f t="shared" si="0"/>
        <v>15739.250000000002</v>
      </c>
    </row>
    <row r="21" spans="1:10">
      <c r="A21" s="2" t="s">
        <v>52</v>
      </c>
      <c r="B21" s="3">
        <v>46178</v>
      </c>
      <c r="C21" s="2" t="s">
        <v>39</v>
      </c>
      <c r="D21" s="2" t="s">
        <v>12</v>
      </c>
      <c r="E21" s="2">
        <v>20</v>
      </c>
      <c r="F21" s="2">
        <v>563.97</v>
      </c>
      <c r="G21" t="str">
        <f>INDEX('Product Master'!$B$2:$B$9,MATCH(C21,'Product Master'!$A$2:$A$9,0))</f>
        <v>Running Shoes</v>
      </c>
      <c r="H21" t="str">
        <f>INDEX('Product Master'!$C$2:$C$9,MATCH(C21,'Product Master'!$A$2:$A$9,0))</f>
        <v>Footwear</v>
      </c>
      <c r="I21">
        <f>INDEX('Product Master'!$D$2:$D$9,MATCH(C21,'Product Master'!$A$2:$A$9,0))</f>
        <v>60</v>
      </c>
      <c r="J21">
        <f t="shared" si="0"/>
        <v>11279.400000000001</v>
      </c>
    </row>
    <row r="22" spans="1:10">
      <c r="A22" s="2" t="s">
        <v>55</v>
      </c>
      <c r="B22" s="3">
        <v>46246</v>
      </c>
      <c r="C22" s="2" t="s">
        <v>39</v>
      </c>
      <c r="D22" s="2" t="s">
        <v>21</v>
      </c>
      <c r="E22" s="2">
        <v>10</v>
      </c>
      <c r="F22" s="2">
        <v>121.13</v>
      </c>
      <c r="G22" t="str">
        <f>INDEX('Product Master'!$B$2:$B$9,MATCH(C22,'Product Master'!$A$2:$A$9,0))</f>
        <v>Running Shoes</v>
      </c>
      <c r="H22" t="str">
        <f>INDEX('Product Master'!$C$2:$C$9,MATCH(C22,'Product Master'!$A$2:$A$9,0))</f>
        <v>Footwear</v>
      </c>
      <c r="I22">
        <f>INDEX('Product Master'!$D$2:$D$9,MATCH(C22,'Product Master'!$A$2:$A$9,0))</f>
        <v>60</v>
      </c>
      <c r="J22">
        <f t="shared" si="0"/>
        <v>1211.3</v>
      </c>
    </row>
    <row r="23" spans="1:10">
      <c r="A23" s="2" t="s">
        <v>56</v>
      </c>
      <c r="B23" s="3">
        <v>46155</v>
      </c>
      <c r="C23" s="2" t="s">
        <v>39</v>
      </c>
      <c r="D23" s="2" t="s">
        <v>12</v>
      </c>
      <c r="E23" s="2">
        <v>30</v>
      </c>
      <c r="F23" s="2">
        <v>385.14</v>
      </c>
      <c r="G23" t="str">
        <f>INDEX('Product Master'!$B$2:$B$9,MATCH(C23,'Product Master'!$A$2:$A$9,0))</f>
        <v>Running Shoes</v>
      </c>
      <c r="H23" t="str">
        <f>INDEX('Product Master'!$C$2:$C$9,MATCH(C23,'Product Master'!$A$2:$A$9,0))</f>
        <v>Footwear</v>
      </c>
      <c r="I23">
        <f>INDEX('Product Master'!$D$2:$D$9,MATCH(C23,'Product Master'!$A$2:$A$9,0))</f>
        <v>60</v>
      </c>
      <c r="J23">
        <f t="shared" si="0"/>
        <v>11554.199999999999</v>
      </c>
    </row>
    <row r="24" spans="1:10">
      <c r="A24" s="2" t="s">
        <v>59</v>
      </c>
      <c r="B24" s="3">
        <v>46222</v>
      </c>
      <c r="C24" s="2" t="s">
        <v>39</v>
      </c>
      <c r="D24" s="2" t="s">
        <v>21</v>
      </c>
      <c r="E24" s="2">
        <v>10</v>
      </c>
      <c r="F24" s="2">
        <v>693.12</v>
      </c>
      <c r="G24" t="str">
        <f>INDEX('Product Master'!$B$2:$B$9,MATCH(C24,'Product Master'!$A$2:$A$9,0))</f>
        <v>Running Shoes</v>
      </c>
      <c r="H24" t="str">
        <f>INDEX('Product Master'!$C$2:$C$9,MATCH(C24,'Product Master'!$A$2:$A$9,0))</f>
        <v>Footwear</v>
      </c>
      <c r="I24">
        <f>INDEX('Product Master'!$D$2:$D$9,MATCH(C24,'Product Master'!$A$2:$A$9,0))</f>
        <v>60</v>
      </c>
      <c r="J24">
        <f t="shared" si="0"/>
        <v>6931.2</v>
      </c>
    </row>
    <row r="25" spans="1:10">
      <c r="A25" s="2" t="s">
        <v>86</v>
      </c>
      <c r="B25" s="3">
        <v>46175</v>
      </c>
      <c r="C25" s="2" t="s">
        <v>39</v>
      </c>
      <c r="D25" s="2" t="s">
        <v>16</v>
      </c>
      <c r="E25" s="2">
        <v>10</v>
      </c>
      <c r="F25" s="2">
        <v>228.79</v>
      </c>
      <c r="G25" t="str">
        <f>INDEX('Product Master'!$B$2:$B$9,MATCH(C25,'Product Master'!$A$2:$A$9,0))</f>
        <v>Running Shoes</v>
      </c>
      <c r="H25" t="str">
        <f>INDEX('Product Master'!$C$2:$C$9,MATCH(C25,'Product Master'!$A$2:$A$9,0))</f>
        <v>Footwear</v>
      </c>
      <c r="I25">
        <f>INDEX('Product Master'!$D$2:$D$9,MATCH(C25,'Product Master'!$A$2:$A$9,0))</f>
        <v>60</v>
      </c>
      <c r="J25">
        <f t="shared" si="0"/>
        <v>2287.9</v>
      </c>
    </row>
    <row r="26" spans="1:10">
      <c r="A26" s="2" t="s">
        <v>89</v>
      </c>
      <c r="B26" s="3">
        <v>46178</v>
      </c>
      <c r="C26" s="2" t="s">
        <v>39</v>
      </c>
      <c r="D26" s="2" t="s">
        <v>8</v>
      </c>
      <c r="E26" s="2">
        <v>25</v>
      </c>
      <c r="F26" s="2">
        <v>254.3</v>
      </c>
      <c r="G26" t="str">
        <f>INDEX('Product Master'!$B$2:$B$9,MATCH(C26,'Product Master'!$A$2:$A$9,0))</f>
        <v>Running Shoes</v>
      </c>
      <c r="H26" t="str">
        <f>INDEX('Product Master'!$C$2:$C$9,MATCH(C26,'Product Master'!$A$2:$A$9,0))</f>
        <v>Footwear</v>
      </c>
      <c r="I26">
        <f>INDEX('Product Master'!$D$2:$D$9,MATCH(C26,'Product Master'!$A$2:$A$9,0))</f>
        <v>60</v>
      </c>
      <c r="J26">
        <f t="shared" si="0"/>
        <v>6357.5</v>
      </c>
    </row>
    <row r="27" spans="1:10">
      <c r="A27" s="2" t="s">
        <v>95</v>
      </c>
      <c r="B27" s="3">
        <v>46190</v>
      </c>
      <c r="C27" s="2" t="s">
        <v>39</v>
      </c>
      <c r="D27" s="2" t="s">
        <v>21</v>
      </c>
      <c r="E27" s="2">
        <v>25</v>
      </c>
      <c r="F27" s="2">
        <v>643.79</v>
      </c>
      <c r="G27" t="str">
        <f>INDEX('Product Master'!$B$2:$B$9,MATCH(C27,'Product Master'!$A$2:$A$9,0))</f>
        <v>Running Shoes</v>
      </c>
      <c r="H27" t="str">
        <f>INDEX('Product Master'!$C$2:$C$9,MATCH(C27,'Product Master'!$A$2:$A$9,0))</f>
        <v>Footwear</v>
      </c>
      <c r="I27">
        <f>INDEX('Product Master'!$D$2:$D$9,MATCH(C27,'Product Master'!$A$2:$A$9,0))</f>
        <v>60</v>
      </c>
      <c r="J27">
        <f t="shared" si="0"/>
        <v>16094.75</v>
      </c>
    </row>
    <row r="28" spans="1:10">
      <c r="A28" s="2" t="s">
        <v>9</v>
      </c>
      <c r="B28" s="3">
        <v>46250</v>
      </c>
      <c r="C28" s="2" t="s">
        <v>10</v>
      </c>
      <c r="D28" s="2" t="s">
        <v>8</v>
      </c>
      <c r="E28" s="2">
        <v>50</v>
      </c>
      <c r="F28" s="2">
        <v>772.41</v>
      </c>
      <c r="G28" t="str">
        <f>INDEX('Product Master'!$B$2:$B$9,MATCH(C28,'Product Master'!$A$2:$A$9,0))</f>
        <v>Leather Wallet</v>
      </c>
      <c r="H28" t="str">
        <f>INDEX('Product Master'!$C$2:$C$9,MATCH(C28,'Product Master'!$A$2:$A$9,0))</f>
        <v>Accessories</v>
      </c>
      <c r="I28">
        <f>INDEX('Product Master'!$D$2:$D$9,MATCH(C28,'Product Master'!$A$2:$A$9,0))</f>
        <v>150</v>
      </c>
      <c r="J28">
        <f t="shared" si="0"/>
        <v>38620.5</v>
      </c>
    </row>
    <row r="29" spans="1:10">
      <c r="A29" s="2" t="s">
        <v>11</v>
      </c>
      <c r="B29" s="3">
        <v>46166</v>
      </c>
      <c r="C29" s="2" t="s">
        <v>10</v>
      </c>
      <c r="D29" s="2" t="s">
        <v>12</v>
      </c>
      <c r="E29" s="2">
        <v>5</v>
      </c>
      <c r="F29" s="2">
        <v>328.29</v>
      </c>
      <c r="G29" t="str">
        <f>INDEX('Product Master'!$B$2:$B$9,MATCH(C29,'Product Master'!$A$2:$A$9,0))</f>
        <v>Leather Wallet</v>
      </c>
      <c r="H29" t="str">
        <f>INDEX('Product Master'!$C$2:$C$9,MATCH(C29,'Product Master'!$A$2:$A$9,0))</f>
        <v>Accessories</v>
      </c>
      <c r="I29">
        <f>INDEX('Product Master'!$D$2:$D$9,MATCH(C29,'Product Master'!$A$2:$A$9,0))</f>
        <v>150</v>
      </c>
      <c r="J29">
        <f t="shared" si="0"/>
        <v>1641.45</v>
      </c>
    </row>
    <row r="30" spans="1:10">
      <c r="A30" s="2" t="s">
        <v>14</v>
      </c>
      <c r="B30" s="3">
        <v>46172</v>
      </c>
      <c r="C30" s="2" t="s">
        <v>10</v>
      </c>
      <c r="D30" s="2" t="s">
        <v>12</v>
      </c>
      <c r="E30" s="2">
        <v>20</v>
      </c>
      <c r="F30" s="2">
        <v>798.17</v>
      </c>
      <c r="G30" t="str">
        <f>INDEX('Product Master'!$B$2:$B$9,MATCH(C30,'Product Master'!$A$2:$A$9,0))</f>
        <v>Leather Wallet</v>
      </c>
      <c r="H30" t="str">
        <f>INDEX('Product Master'!$C$2:$C$9,MATCH(C30,'Product Master'!$A$2:$A$9,0))</f>
        <v>Accessories</v>
      </c>
      <c r="I30">
        <f>INDEX('Product Master'!$D$2:$D$9,MATCH(C30,'Product Master'!$A$2:$A$9,0))</f>
        <v>150</v>
      </c>
      <c r="J30">
        <f t="shared" si="0"/>
        <v>15963.4</v>
      </c>
    </row>
    <row r="31" spans="1:10">
      <c r="A31" s="2" t="s">
        <v>33</v>
      </c>
      <c r="B31" s="3">
        <v>46238</v>
      </c>
      <c r="C31" s="2" t="s">
        <v>10</v>
      </c>
      <c r="D31" s="2" t="s">
        <v>16</v>
      </c>
      <c r="E31" s="2">
        <v>25</v>
      </c>
      <c r="F31" s="2">
        <v>288.98</v>
      </c>
      <c r="G31" t="str">
        <f>INDEX('Product Master'!$B$2:$B$9,MATCH(C31,'Product Master'!$A$2:$A$9,0))</f>
        <v>Leather Wallet</v>
      </c>
      <c r="H31" t="str">
        <f>INDEX('Product Master'!$C$2:$C$9,MATCH(C31,'Product Master'!$A$2:$A$9,0))</f>
        <v>Accessories</v>
      </c>
      <c r="I31">
        <f>INDEX('Product Master'!$D$2:$D$9,MATCH(C31,'Product Master'!$A$2:$A$9,0))</f>
        <v>150</v>
      </c>
      <c r="J31">
        <f t="shared" si="0"/>
        <v>7224.5</v>
      </c>
    </row>
    <row r="32" spans="1:10">
      <c r="A32" s="2" t="s">
        <v>37</v>
      </c>
      <c r="B32" s="3">
        <v>46182</v>
      </c>
      <c r="C32" s="2" t="s">
        <v>10</v>
      </c>
      <c r="D32" s="2" t="s">
        <v>12</v>
      </c>
      <c r="E32" s="2">
        <v>10</v>
      </c>
      <c r="F32" s="2">
        <v>99.23</v>
      </c>
      <c r="G32" t="str">
        <f>INDEX('Product Master'!$B$2:$B$9,MATCH(C32,'Product Master'!$A$2:$A$9,0))</f>
        <v>Leather Wallet</v>
      </c>
      <c r="H32" t="str">
        <f>INDEX('Product Master'!$C$2:$C$9,MATCH(C32,'Product Master'!$A$2:$A$9,0))</f>
        <v>Accessories</v>
      </c>
      <c r="I32">
        <f>INDEX('Product Master'!$D$2:$D$9,MATCH(C32,'Product Master'!$A$2:$A$9,0))</f>
        <v>150</v>
      </c>
      <c r="J32">
        <f t="shared" si="0"/>
        <v>992.30000000000007</v>
      </c>
    </row>
    <row r="33" spans="1:10">
      <c r="A33" s="2" t="s">
        <v>40</v>
      </c>
      <c r="B33" s="3">
        <v>46147</v>
      </c>
      <c r="C33" s="2" t="s">
        <v>10</v>
      </c>
      <c r="D33" s="2" t="s">
        <v>8</v>
      </c>
      <c r="E33" s="2">
        <v>10</v>
      </c>
      <c r="F33" s="2">
        <v>771.07</v>
      </c>
      <c r="G33" t="str">
        <f>INDEX('Product Master'!$B$2:$B$9,MATCH(C33,'Product Master'!$A$2:$A$9,0))</f>
        <v>Leather Wallet</v>
      </c>
      <c r="H33" t="str">
        <f>INDEX('Product Master'!$C$2:$C$9,MATCH(C33,'Product Master'!$A$2:$A$9,0))</f>
        <v>Accessories</v>
      </c>
      <c r="I33">
        <f>INDEX('Product Master'!$D$2:$D$9,MATCH(C33,'Product Master'!$A$2:$A$9,0))</f>
        <v>150</v>
      </c>
      <c r="J33">
        <f t="shared" si="0"/>
        <v>7710.7000000000007</v>
      </c>
    </row>
    <row r="34" spans="1:10">
      <c r="A34" s="2" t="s">
        <v>42</v>
      </c>
      <c r="B34" s="3">
        <v>46228</v>
      </c>
      <c r="C34" s="2" t="s">
        <v>10</v>
      </c>
      <c r="D34" s="2" t="s">
        <v>21</v>
      </c>
      <c r="E34" s="2">
        <v>10</v>
      </c>
      <c r="F34" s="2">
        <v>471.36</v>
      </c>
      <c r="G34" t="str">
        <f>INDEX('Product Master'!$B$2:$B$9,MATCH(C34,'Product Master'!$A$2:$A$9,0))</f>
        <v>Leather Wallet</v>
      </c>
      <c r="H34" t="str">
        <f>INDEX('Product Master'!$C$2:$C$9,MATCH(C34,'Product Master'!$A$2:$A$9,0))</f>
        <v>Accessories</v>
      </c>
      <c r="I34">
        <f>INDEX('Product Master'!$D$2:$D$9,MATCH(C34,'Product Master'!$A$2:$A$9,0))</f>
        <v>150</v>
      </c>
      <c r="J34">
        <f t="shared" si="0"/>
        <v>4713.6000000000004</v>
      </c>
    </row>
    <row r="35" spans="1:10">
      <c r="A35" s="2" t="s">
        <v>67</v>
      </c>
      <c r="B35" s="3">
        <v>46222</v>
      </c>
      <c r="C35" s="2" t="s">
        <v>10</v>
      </c>
      <c r="D35" s="2" t="s">
        <v>12</v>
      </c>
      <c r="E35" s="2">
        <v>25</v>
      </c>
      <c r="F35" s="2">
        <v>661.02</v>
      </c>
      <c r="G35" t="str">
        <f>INDEX('Product Master'!$B$2:$B$9,MATCH(C35,'Product Master'!$A$2:$A$9,0))</f>
        <v>Leather Wallet</v>
      </c>
      <c r="H35" t="str">
        <f>INDEX('Product Master'!$C$2:$C$9,MATCH(C35,'Product Master'!$A$2:$A$9,0))</f>
        <v>Accessories</v>
      </c>
      <c r="I35">
        <f>INDEX('Product Master'!$D$2:$D$9,MATCH(C35,'Product Master'!$A$2:$A$9,0))</f>
        <v>150</v>
      </c>
      <c r="J35">
        <f t="shared" si="0"/>
        <v>16525.5</v>
      </c>
    </row>
    <row r="36" spans="1:10">
      <c r="A36" s="2" t="s">
        <v>77</v>
      </c>
      <c r="B36" s="3">
        <v>46190</v>
      </c>
      <c r="C36" s="2" t="s">
        <v>10</v>
      </c>
      <c r="D36" s="2" t="s">
        <v>8</v>
      </c>
      <c r="E36" s="2">
        <v>30</v>
      </c>
      <c r="F36" s="2">
        <v>524.45000000000005</v>
      </c>
      <c r="G36" t="str">
        <f>INDEX('Product Master'!$B$2:$B$9,MATCH(C36,'Product Master'!$A$2:$A$9,0))</f>
        <v>Leather Wallet</v>
      </c>
      <c r="H36" t="str">
        <f>INDEX('Product Master'!$C$2:$C$9,MATCH(C36,'Product Master'!$A$2:$A$9,0))</f>
        <v>Accessories</v>
      </c>
      <c r="I36">
        <f>INDEX('Product Master'!$D$2:$D$9,MATCH(C36,'Product Master'!$A$2:$A$9,0))</f>
        <v>150</v>
      </c>
      <c r="J36">
        <f t="shared" si="0"/>
        <v>15733.500000000002</v>
      </c>
    </row>
    <row r="37" spans="1:10">
      <c r="A37" s="2" t="s">
        <v>90</v>
      </c>
      <c r="B37" s="3">
        <v>46167</v>
      </c>
      <c r="C37" s="2" t="s">
        <v>10</v>
      </c>
      <c r="D37" s="2" t="s">
        <v>12</v>
      </c>
      <c r="E37" s="2">
        <v>15</v>
      </c>
      <c r="F37" s="2">
        <v>657.82</v>
      </c>
      <c r="G37" t="str">
        <f>INDEX('Product Master'!$B$2:$B$9,MATCH(C37,'Product Master'!$A$2:$A$9,0))</f>
        <v>Leather Wallet</v>
      </c>
      <c r="H37" t="str">
        <f>INDEX('Product Master'!$C$2:$C$9,MATCH(C37,'Product Master'!$A$2:$A$9,0))</f>
        <v>Accessories</v>
      </c>
      <c r="I37">
        <f>INDEX('Product Master'!$D$2:$D$9,MATCH(C37,'Product Master'!$A$2:$A$9,0))</f>
        <v>150</v>
      </c>
      <c r="J37">
        <f t="shared" si="0"/>
        <v>9867.3000000000011</v>
      </c>
    </row>
    <row r="38" spans="1:10">
      <c r="A38" s="2" t="s">
        <v>94</v>
      </c>
      <c r="B38" s="3">
        <v>46182</v>
      </c>
      <c r="C38" s="2" t="s">
        <v>10</v>
      </c>
      <c r="D38" s="2" t="s">
        <v>8</v>
      </c>
      <c r="E38" s="2">
        <v>15</v>
      </c>
      <c r="F38" s="2">
        <v>720.84</v>
      </c>
      <c r="G38" t="str">
        <f>INDEX('Product Master'!$B$2:$B$9,MATCH(C38,'Product Master'!$A$2:$A$9,0))</f>
        <v>Leather Wallet</v>
      </c>
      <c r="H38" t="str">
        <f>INDEX('Product Master'!$C$2:$C$9,MATCH(C38,'Product Master'!$A$2:$A$9,0))</f>
        <v>Accessories</v>
      </c>
      <c r="I38">
        <f>INDEX('Product Master'!$D$2:$D$9,MATCH(C38,'Product Master'!$A$2:$A$9,0))</f>
        <v>150</v>
      </c>
      <c r="J38">
        <f t="shared" si="0"/>
        <v>10812.6</v>
      </c>
    </row>
    <row r="39" spans="1:10">
      <c r="A39" s="2" t="s">
        <v>44</v>
      </c>
      <c r="B39" s="3">
        <v>46149</v>
      </c>
      <c r="C39" s="2" t="s">
        <v>45</v>
      </c>
      <c r="D39" s="2" t="s">
        <v>29</v>
      </c>
      <c r="E39" s="2">
        <v>5</v>
      </c>
      <c r="F39" s="2">
        <v>364.66</v>
      </c>
      <c r="G39" t="str">
        <f>INDEX('Product Master'!$B$2:$B$9,MATCH(C39,'Product Master'!$A$2:$A$9,0))</f>
        <v>Backpack</v>
      </c>
      <c r="H39" t="str">
        <f>INDEX('Product Master'!$C$2:$C$9,MATCH(C39,'Product Master'!$A$2:$A$9,0))</f>
        <v>Accessories</v>
      </c>
      <c r="I39">
        <f>INDEX('Product Master'!$D$2:$D$9,MATCH(C39,'Product Master'!$A$2:$A$9,0))</f>
        <v>90</v>
      </c>
      <c r="J39">
        <f t="shared" si="0"/>
        <v>1823.3000000000002</v>
      </c>
    </row>
    <row r="40" spans="1:10">
      <c r="A40" s="2" t="s">
        <v>48</v>
      </c>
      <c r="B40" s="3">
        <v>46149</v>
      </c>
      <c r="C40" s="2" t="s">
        <v>45</v>
      </c>
      <c r="D40" s="2" t="s">
        <v>21</v>
      </c>
      <c r="E40" s="2">
        <v>30</v>
      </c>
      <c r="F40" s="2">
        <v>444.22</v>
      </c>
      <c r="G40" t="str">
        <f>INDEX('Product Master'!$B$2:$B$9,MATCH(C40,'Product Master'!$A$2:$A$9,0))</f>
        <v>Backpack</v>
      </c>
      <c r="H40" t="str">
        <f>INDEX('Product Master'!$C$2:$C$9,MATCH(C40,'Product Master'!$A$2:$A$9,0))</f>
        <v>Accessories</v>
      </c>
      <c r="I40">
        <f>INDEX('Product Master'!$D$2:$D$9,MATCH(C40,'Product Master'!$A$2:$A$9,0))</f>
        <v>90</v>
      </c>
      <c r="J40">
        <f t="shared" si="0"/>
        <v>13326.6</v>
      </c>
    </row>
    <row r="41" spans="1:10">
      <c r="A41" s="2" t="s">
        <v>63</v>
      </c>
      <c r="B41" s="3">
        <v>46172</v>
      </c>
      <c r="C41" s="2" t="s">
        <v>45</v>
      </c>
      <c r="D41" s="2" t="s">
        <v>16</v>
      </c>
      <c r="E41" s="2">
        <v>15</v>
      </c>
      <c r="F41" s="2">
        <v>609.36</v>
      </c>
      <c r="G41" t="str">
        <f>INDEX('Product Master'!$B$2:$B$9,MATCH(C41,'Product Master'!$A$2:$A$9,0))</f>
        <v>Backpack</v>
      </c>
      <c r="H41" t="str">
        <f>INDEX('Product Master'!$C$2:$C$9,MATCH(C41,'Product Master'!$A$2:$A$9,0))</f>
        <v>Accessories</v>
      </c>
      <c r="I41">
        <f>INDEX('Product Master'!$D$2:$D$9,MATCH(C41,'Product Master'!$A$2:$A$9,0))</f>
        <v>90</v>
      </c>
      <c r="J41">
        <f t="shared" si="0"/>
        <v>9140.4</v>
      </c>
    </row>
    <row r="42" spans="1:10">
      <c r="A42" s="2" t="s">
        <v>78</v>
      </c>
      <c r="B42" s="3">
        <v>46222</v>
      </c>
      <c r="C42" s="2" t="s">
        <v>45</v>
      </c>
      <c r="D42" s="2" t="s">
        <v>21</v>
      </c>
      <c r="E42" s="2">
        <v>20</v>
      </c>
      <c r="F42" s="2">
        <v>737.51</v>
      </c>
      <c r="G42" t="str">
        <f>INDEX('Product Master'!$B$2:$B$9,MATCH(C42,'Product Master'!$A$2:$A$9,0))</f>
        <v>Backpack</v>
      </c>
      <c r="H42" t="str">
        <f>INDEX('Product Master'!$C$2:$C$9,MATCH(C42,'Product Master'!$A$2:$A$9,0))</f>
        <v>Accessories</v>
      </c>
      <c r="I42">
        <f>INDEX('Product Master'!$D$2:$D$9,MATCH(C42,'Product Master'!$A$2:$A$9,0))</f>
        <v>90</v>
      </c>
      <c r="J42">
        <f t="shared" si="0"/>
        <v>14750.2</v>
      </c>
    </row>
    <row r="43" spans="1:10">
      <c r="A43" s="2" t="s">
        <v>79</v>
      </c>
      <c r="B43" s="3">
        <v>46192</v>
      </c>
      <c r="C43" s="2" t="s">
        <v>45</v>
      </c>
      <c r="D43" s="2" t="s">
        <v>16</v>
      </c>
      <c r="E43" s="2">
        <v>20</v>
      </c>
      <c r="F43" s="2">
        <v>668.63</v>
      </c>
      <c r="G43" t="str">
        <f>INDEX('Product Master'!$B$2:$B$9,MATCH(C43,'Product Master'!$A$2:$A$9,0))</f>
        <v>Backpack</v>
      </c>
      <c r="H43" t="str">
        <f>INDEX('Product Master'!$C$2:$C$9,MATCH(C43,'Product Master'!$A$2:$A$9,0))</f>
        <v>Accessories</v>
      </c>
      <c r="I43">
        <f>INDEX('Product Master'!$D$2:$D$9,MATCH(C43,'Product Master'!$A$2:$A$9,0))</f>
        <v>90</v>
      </c>
      <c r="J43">
        <f t="shared" si="0"/>
        <v>13372.6</v>
      </c>
    </row>
    <row r="44" spans="1:10">
      <c r="A44" s="2" t="s">
        <v>82</v>
      </c>
      <c r="B44" s="3">
        <v>46153</v>
      </c>
      <c r="C44" s="2" t="s">
        <v>45</v>
      </c>
      <c r="D44" s="2" t="s">
        <v>16</v>
      </c>
      <c r="E44" s="2">
        <v>20</v>
      </c>
      <c r="F44" s="2">
        <v>606.77</v>
      </c>
      <c r="G44" t="str">
        <f>INDEX('Product Master'!$B$2:$B$9,MATCH(C44,'Product Master'!$A$2:$A$9,0))</f>
        <v>Backpack</v>
      </c>
      <c r="H44" t="str">
        <f>INDEX('Product Master'!$C$2:$C$9,MATCH(C44,'Product Master'!$A$2:$A$9,0))</f>
        <v>Accessories</v>
      </c>
      <c r="I44">
        <f>INDEX('Product Master'!$D$2:$D$9,MATCH(C44,'Product Master'!$A$2:$A$9,0))</f>
        <v>90</v>
      </c>
      <c r="J44">
        <f t="shared" si="0"/>
        <v>12135.4</v>
      </c>
    </row>
    <row r="45" spans="1:10">
      <c r="A45" s="2" t="s">
        <v>85</v>
      </c>
      <c r="B45" s="3">
        <v>46167</v>
      </c>
      <c r="C45" s="2" t="s">
        <v>45</v>
      </c>
      <c r="D45" s="2" t="s">
        <v>12</v>
      </c>
      <c r="E45" s="2">
        <v>5</v>
      </c>
      <c r="F45" s="2">
        <v>291.58</v>
      </c>
      <c r="G45" t="str">
        <f>INDEX('Product Master'!$B$2:$B$9,MATCH(C45,'Product Master'!$A$2:$A$9,0))</f>
        <v>Backpack</v>
      </c>
      <c r="H45" t="str">
        <f>INDEX('Product Master'!$C$2:$C$9,MATCH(C45,'Product Master'!$A$2:$A$9,0))</f>
        <v>Accessories</v>
      </c>
      <c r="I45">
        <f>INDEX('Product Master'!$D$2:$D$9,MATCH(C45,'Product Master'!$A$2:$A$9,0))</f>
        <v>90</v>
      </c>
      <c r="J45">
        <f t="shared" si="0"/>
        <v>1457.8999999999999</v>
      </c>
    </row>
    <row r="46" spans="1:10">
      <c r="A46" s="2" t="s">
        <v>87</v>
      </c>
      <c r="B46" s="3">
        <v>46231</v>
      </c>
      <c r="C46" s="2" t="s">
        <v>45</v>
      </c>
      <c r="D46" s="2" t="s">
        <v>8</v>
      </c>
      <c r="E46" s="2">
        <v>10</v>
      </c>
      <c r="F46" s="2">
        <v>755.55</v>
      </c>
      <c r="G46" t="str">
        <f>INDEX('Product Master'!$B$2:$B$9,MATCH(C46,'Product Master'!$A$2:$A$9,0))</f>
        <v>Backpack</v>
      </c>
      <c r="H46" t="str">
        <f>INDEX('Product Master'!$C$2:$C$9,MATCH(C46,'Product Master'!$A$2:$A$9,0))</f>
        <v>Accessories</v>
      </c>
      <c r="I46">
        <f>INDEX('Product Master'!$D$2:$D$9,MATCH(C46,'Product Master'!$A$2:$A$9,0))</f>
        <v>90</v>
      </c>
      <c r="J46">
        <f t="shared" si="0"/>
        <v>7555.5</v>
      </c>
    </row>
    <row r="47" spans="1:10">
      <c r="A47" s="2" t="s">
        <v>35</v>
      </c>
      <c r="B47" s="3">
        <v>46187</v>
      </c>
      <c r="C47" s="2" t="s">
        <v>36</v>
      </c>
      <c r="D47" s="2" t="s">
        <v>29</v>
      </c>
      <c r="E47" s="2">
        <v>50</v>
      </c>
      <c r="F47" s="2">
        <v>497.93</v>
      </c>
      <c r="G47" t="str">
        <f>INDEX('Product Master'!$B$2:$B$9,MATCH(C47,'Product Master'!$A$2:$A$9,0))</f>
        <v>Sunglasses</v>
      </c>
      <c r="H47" t="str">
        <f>INDEX('Product Master'!$C$2:$C$9,MATCH(C47,'Product Master'!$A$2:$A$9,0))</f>
        <v>Accessories</v>
      </c>
      <c r="I47">
        <f>INDEX('Product Master'!$D$2:$D$9,MATCH(C47,'Product Master'!$A$2:$A$9,0))</f>
        <v>120</v>
      </c>
      <c r="J47">
        <f t="shared" si="0"/>
        <v>24896.5</v>
      </c>
    </row>
    <row r="48" spans="1:10">
      <c r="A48" s="2" t="s">
        <v>58</v>
      </c>
      <c r="B48" s="3">
        <v>46181</v>
      </c>
      <c r="C48" s="2" t="s">
        <v>36</v>
      </c>
      <c r="D48" s="2" t="s">
        <v>8</v>
      </c>
      <c r="E48" s="2">
        <v>20</v>
      </c>
      <c r="F48" s="2">
        <v>715.97</v>
      </c>
      <c r="G48" t="str">
        <f>INDEX('Product Master'!$B$2:$B$9,MATCH(C48,'Product Master'!$A$2:$A$9,0))</f>
        <v>Sunglasses</v>
      </c>
      <c r="H48" t="str">
        <f>INDEX('Product Master'!$C$2:$C$9,MATCH(C48,'Product Master'!$A$2:$A$9,0))</f>
        <v>Accessories</v>
      </c>
      <c r="I48">
        <f>INDEX('Product Master'!$D$2:$D$9,MATCH(C48,'Product Master'!$A$2:$A$9,0))</f>
        <v>120</v>
      </c>
      <c r="J48">
        <f t="shared" si="0"/>
        <v>14319.400000000001</v>
      </c>
    </row>
    <row r="49" spans="1:10">
      <c r="A49" s="2" t="s">
        <v>66</v>
      </c>
      <c r="B49" s="3">
        <v>46150</v>
      </c>
      <c r="C49" s="2" t="s">
        <v>36</v>
      </c>
      <c r="D49" s="2" t="s">
        <v>16</v>
      </c>
      <c r="E49" s="2">
        <v>15</v>
      </c>
      <c r="F49" s="2">
        <v>268.70999999999998</v>
      </c>
      <c r="G49" t="str">
        <f>INDEX('Product Master'!$B$2:$B$9,MATCH(C49,'Product Master'!$A$2:$A$9,0))</f>
        <v>Sunglasses</v>
      </c>
      <c r="H49" t="str">
        <f>INDEX('Product Master'!$C$2:$C$9,MATCH(C49,'Product Master'!$A$2:$A$9,0))</f>
        <v>Accessories</v>
      </c>
      <c r="I49">
        <f>INDEX('Product Master'!$D$2:$D$9,MATCH(C49,'Product Master'!$A$2:$A$9,0))</f>
        <v>120</v>
      </c>
      <c r="J49">
        <f t="shared" si="0"/>
        <v>4030.6499999999996</v>
      </c>
    </row>
    <row r="50" spans="1:10">
      <c r="A50" s="2" t="s">
        <v>68</v>
      </c>
      <c r="B50" s="3">
        <v>46168</v>
      </c>
      <c r="C50" s="2" t="s">
        <v>36</v>
      </c>
      <c r="D50" s="2" t="s">
        <v>12</v>
      </c>
      <c r="E50" s="2">
        <v>15</v>
      </c>
      <c r="F50" s="2">
        <v>543.47</v>
      </c>
      <c r="G50" t="str">
        <f>INDEX('Product Master'!$B$2:$B$9,MATCH(C50,'Product Master'!$A$2:$A$9,0))</f>
        <v>Sunglasses</v>
      </c>
      <c r="H50" t="str">
        <f>INDEX('Product Master'!$C$2:$C$9,MATCH(C50,'Product Master'!$A$2:$A$9,0))</f>
        <v>Accessories</v>
      </c>
      <c r="I50">
        <f>INDEX('Product Master'!$D$2:$D$9,MATCH(C50,'Product Master'!$A$2:$A$9,0))</f>
        <v>120</v>
      </c>
      <c r="J50">
        <f t="shared" si="0"/>
        <v>8152.05</v>
      </c>
    </row>
    <row r="51" spans="1:10">
      <c r="A51" s="2" t="s">
        <v>84</v>
      </c>
      <c r="B51" s="3">
        <v>46229</v>
      </c>
      <c r="C51" s="2" t="s">
        <v>36</v>
      </c>
      <c r="D51" s="2" t="s">
        <v>29</v>
      </c>
      <c r="E51" s="2">
        <v>30</v>
      </c>
      <c r="F51" s="2">
        <v>486.26</v>
      </c>
      <c r="G51" t="str">
        <f>INDEX('Product Master'!$B$2:$B$9,MATCH(C51,'Product Master'!$A$2:$A$9,0))</f>
        <v>Sunglasses</v>
      </c>
      <c r="H51" t="str">
        <f>INDEX('Product Master'!$C$2:$C$9,MATCH(C51,'Product Master'!$A$2:$A$9,0))</f>
        <v>Accessories</v>
      </c>
      <c r="I51">
        <f>INDEX('Product Master'!$D$2:$D$9,MATCH(C51,'Product Master'!$A$2:$A$9,0))</f>
        <v>120</v>
      </c>
      <c r="J51">
        <f t="shared" si="0"/>
        <v>14587.8</v>
      </c>
    </row>
    <row r="52" spans="1:10">
      <c r="A52" s="2" t="s">
        <v>91</v>
      </c>
      <c r="B52" s="3">
        <v>46262</v>
      </c>
      <c r="C52" s="2" t="s">
        <v>36</v>
      </c>
      <c r="D52" s="2" t="s">
        <v>12</v>
      </c>
      <c r="E52" s="2">
        <v>5</v>
      </c>
      <c r="F52" s="2">
        <v>425.9</v>
      </c>
      <c r="G52" t="str">
        <f>INDEX('Product Master'!$B$2:$B$9,MATCH(C52,'Product Master'!$A$2:$A$9,0))</f>
        <v>Sunglasses</v>
      </c>
      <c r="H52" t="str">
        <f>INDEX('Product Master'!$C$2:$C$9,MATCH(C52,'Product Master'!$A$2:$A$9,0))</f>
        <v>Accessories</v>
      </c>
      <c r="I52">
        <f>INDEX('Product Master'!$D$2:$D$9,MATCH(C52,'Product Master'!$A$2:$A$9,0))</f>
        <v>120</v>
      </c>
      <c r="J52">
        <f t="shared" si="0"/>
        <v>2129.5</v>
      </c>
    </row>
    <row r="53" spans="1:10">
      <c r="A53" s="2" t="s">
        <v>6</v>
      </c>
      <c r="B53" s="3">
        <v>46164</v>
      </c>
      <c r="C53" s="2" t="s">
        <v>7</v>
      </c>
      <c r="D53" s="2" t="s">
        <v>8</v>
      </c>
      <c r="E53" s="2">
        <v>30</v>
      </c>
      <c r="F53" s="2">
        <v>260.94</v>
      </c>
      <c r="G53" t="str">
        <f>INDEX('Product Master'!$B$2:$B$9,MATCH(C53,'Product Master'!$A$2:$A$9,0))</f>
        <v>Wrist Watch</v>
      </c>
      <c r="H53" t="str">
        <f>INDEX('Product Master'!$C$2:$C$9,MATCH(C53,'Product Master'!$A$2:$A$9,0))</f>
        <v>Accessories</v>
      </c>
      <c r="I53">
        <f>INDEX('Product Master'!$D$2:$D$9,MATCH(C53,'Product Master'!$A$2:$A$9,0))</f>
        <v>40</v>
      </c>
      <c r="J53">
        <f t="shared" si="0"/>
        <v>7828.2</v>
      </c>
    </row>
    <row r="54" spans="1:10">
      <c r="A54" s="2" t="s">
        <v>13</v>
      </c>
      <c r="B54" s="3">
        <v>46217</v>
      </c>
      <c r="C54" s="2" t="s">
        <v>7</v>
      </c>
      <c r="D54" s="2" t="s">
        <v>12</v>
      </c>
      <c r="E54" s="2">
        <v>10</v>
      </c>
      <c r="F54" s="2">
        <v>645.30999999999995</v>
      </c>
      <c r="G54" t="str">
        <f>INDEX('Product Master'!$B$2:$B$9,MATCH(C54,'Product Master'!$A$2:$A$9,0))</f>
        <v>Wrist Watch</v>
      </c>
      <c r="H54" t="str">
        <f>INDEX('Product Master'!$C$2:$C$9,MATCH(C54,'Product Master'!$A$2:$A$9,0))</f>
        <v>Accessories</v>
      </c>
      <c r="I54">
        <f>INDEX('Product Master'!$D$2:$D$9,MATCH(C54,'Product Master'!$A$2:$A$9,0))</f>
        <v>40</v>
      </c>
      <c r="J54">
        <f t="shared" si="0"/>
        <v>6453.0999999999995</v>
      </c>
    </row>
    <row r="55" spans="1:10">
      <c r="A55" s="2" t="s">
        <v>15</v>
      </c>
      <c r="B55" s="3">
        <v>46237</v>
      </c>
      <c r="C55" s="2" t="s">
        <v>7</v>
      </c>
      <c r="D55" s="2" t="s">
        <v>16</v>
      </c>
      <c r="E55" s="2">
        <v>20</v>
      </c>
      <c r="F55" s="2">
        <v>75.55</v>
      </c>
      <c r="G55" t="str">
        <f>INDEX('Product Master'!$B$2:$B$9,MATCH(C55,'Product Master'!$A$2:$A$9,0))</f>
        <v>Wrist Watch</v>
      </c>
      <c r="H55" t="str">
        <f>INDEX('Product Master'!$C$2:$C$9,MATCH(C55,'Product Master'!$A$2:$A$9,0))</f>
        <v>Accessories</v>
      </c>
      <c r="I55">
        <f>INDEX('Product Master'!$D$2:$D$9,MATCH(C55,'Product Master'!$A$2:$A$9,0))</f>
        <v>40</v>
      </c>
      <c r="J55">
        <f t="shared" si="0"/>
        <v>1511</v>
      </c>
    </row>
    <row r="56" spans="1:10">
      <c r="A56" s="2" t="s">
        <v>23</v>
      </c>
      <c r="B56" s="3">
        <v>46186</v>
      </c>
      <c r="C56" s="2" t="s">
        <v>7</v>
      </c>
      <c r="D56" s="2" t="s">
        <v>8</v>
      </c>
      <c r="E56" s="2">
        <v>10</v>
      </c>
      <c r="F56" s="2">
        <v>190.18</v>
      </c>
      <c r="G56" t="str">
        <f>INDEX('Product Master'!$B$2:$B$9,MATCH(C56,'Product Master'!$A$2:$A$9,0))</f>
        <v>Wrist Watch</v>
      </c>
      <c r="H56" t="str">
        <f>INDEX('Product Master'!$C$2:$C$9,MATCH(C56,'Product Master'!$A$2:$A$9,0))</f>
        <v>Accessories</v>
      </c>
      <c r="I56">
        <f>INDEX('Product Master'!$D$2:$D$9,MATCH(C56,'Product Master'!$A$2:$A$9,0))</f>
        <v>40</v>
      </c>
      <c r="J56">
        <f t="shared" si="0"/>
        <v>1901.8000000000002</v>
      </c>
    </row>
    <row r="57" spans="1:10">
      <c r="A57" s="2" t="s">
        <v>27</v>
      </c>
      <c r="B57" s="3">
        <v>46248</v>
      </c>
      <c r="C57" s="2" t="s">
        <v>7</v>
      </c>
      <c r="D57" s="2" t="s">
        <v>21</v>
      </c>
      <c r="E57" s="2">
        <v>15</v>
      </c>
      <c r="F57" s="2">
        <v>742.38</v>
      </c>
      <c r="G57" t="str">
        <f>INDEX('Product Master'!$B$2:$B$9,MATCH(C57,'Product Master'!$A$2:$A$9,0))</f>
        <v>Wrist Watch</v>
      </c>
      <c r="H57" t="str">
        <f>INDEX('Product Master'!$C$2:$C$9,MATCH(C57,'Product Master'!$A$2:$A$9,0))</f>
        <v>Accessories</v>
      </c>
      <c r="I57">
        <f>INDEX('Product Master'!$D$2:$D$9,MATCH(C57,'Product Master'!$A$2:$A$9,0))</f>
        <v>40</v>
      </c>
      <c r="J57">
        <f t="shared" si="0"/>
        <v>11135.7</v>
      </c>
    </row>
    <row r="58" spans="1:10">
      <c r="A58" s="2" t="s">
        <v>28</v>
      </c>
      <c r="B58" s="3">
        <v>46256</v>
      </c>
      <c r="C58" s="2" t="s">
        <v>7</v>
      </c>
      <c r="D58" s="2" t="s">
        <v>29</v>
      </c>
      <c r="E58" s="2">
        <v>15</v>
      </c>
      <c r="F58" s="2">
        <v>765.88</v>
      </c>
      <c r="G58" t="str">
        <f>INDEX('Product Master'!$B$2:$B$9,MATCH(C58,'Product Master'!$A$2:$A$9,0))</f>
        <v>Wrist Watch</v>
      </c>
      <c r="H58" t="str">
        <f>INDEX('Product Master'!$C$2:$C$9,MATCH(C58,'Product Master'!$A$2:$A$9,0))</f>
        <v>Accessories</v>
      </c>
      <c r="I58">
        <f>INDEX('Product Master'!$D$2:$D$9,MATCH(C58,'Product Master'!$A$2:$A$9,0))</f>
        <v>40</v>
      </c>
      <c r="J58">
        <f t="shared" si="0"/>
        <v>11488.2</v>
      </c>
    </row>
    <row r="59" spans="1:10">
      <c r="A59" s="2" t="s">
        <v>30</v>
      </c>
      <c r="B59" s="3">
        <v>46207</v>
      </c>
      <c r="C59" s="2" t="s">
        <v>7</v>
      </c>
      <c r="D59" s="2" t="s">
        <v>29</v>
      </c>
      <c r="E59" s="2">
        <v>20</v>
      </c>
      <c r="F59" s="2">
        <v>339.94</v>
      </c>
      <c r="G59" t="str">
        <f>INDEX('Product Master'!$B$2:$B$9,MATCH(C59,'Product Master'!$A$2:$A$9,0))</f>
        <v>Wrist Watch</v>
      </c>
      <c r="H59" t="str">
        <f>INDEX('Product Master'!$C$2:$C$9,MATCH(C59,'Product Master'!$A$2:$A$9,0))</f>
        <v>Accessories</v>
      </c>
      <c r="I59">
        <f>INDEX('Product Master'!$D$2:$D$9,MATCH(C59,'Product Master'!$A$2:$A$9,0))</f>
        <v>40</v>
      </c>
      <c r="J59">
        <f t="shared" si="0"/>
        <v>6798.8</v>
      </c>
    </row>
    <row r="60" spans="1:10">
      <c r="A60" s="2" t="s">
        <v>43</v>
      </c>
      <c r="B60" s="3">
        <v>46199</v>
      </c>
      <c r="C60" s="2" t="s">
        <v>7</v>
      </c>
      <c r="D60" s="2" t="s">
        <v>8</v>
      </c>
      <c r="E60" s="2">
        <v>5</v>
      </c>
      <c r="F60" s="2">
        <v>677.75</v>
      </c>
      <c r="G60" t="str">
        <f>INDEX('Product Master'!$B$2:$B$9,MATCH(C60,'Product Master'!$A$2:$A$9,0))</f>
        <v>Wrist Watch</v>
      </c>
      <c r="H60" t="str">
        <f>INDEX('Product Master'!$C$2:$C$9,MATCH(C60,'Product Master'!$A$2:$A$9,0))</f>
        <v>Accessories</v>
      </c>
      <c r="I60">
        <f>INDEX('Product Master'!$D$2:$D$9,MATCH(C60,'Product Master'!$A$2:$A$9,0))</f>
        <v>40</v>
      </c>
      <c r="J60">
        <f t="shared" si="0"/>
        <v>3388.75</v>
      </c>
    </row>
    <row r="61" spans="1:10">
      <c r="A61" s="2" t="s">
        <v>46</v>
      </c>
      <c r="B61" s="3">
        <v>46164</v>
      </c>
      <c r="C61" s="2" t="s">
        <v>7</v>
      </c>
      <c r="D61" s="2" t="s">
        <v>12</v>
      </c>
      <c r="E61" s="2">
        <v>50</v>
      </c>
      <c r="F61" s="2">
        <v>303.56</v>
      </c>
      <c r="G61" t="str">
        <f>INDEX('Product Master'!$B$2:$B$9,MATCH(C61,'Product Master'!$A$2:$A$9,0))</f>
        <v>Wrist Watch</v>
      </c>
      <c r="H61" t="str">
        <f>INDEX('Product Master'!$C$2:$C$9,MATCH(C61,'Product Master'!$A$2:$A$9,0))</f>
        <v>Accessories</v>
      </c>
      <c r="I61">
        <f>INDEX('Product Master'!$D$2:$D$9,MATCH(C61,'Product Master'!$A$2:$A$9,0))</f>
        <v>40</v>
      </c>
      <c r="J61">
        <f t="shared" si="0"/>
        <v>15178</v>
      </c>
    </row>
    <row r="62" spans="1:10">
      <c r="A62" s="2" t="s">
        <v>54</v>
      </c>
      <c r="B62" s="3">
        <v>46174</v>
      </c>
      <c r="C62" s="2" t="s">
        <v>7</v>
      </c>
      <c r="D62" s="2" t="s">
        <v>29</v>
      </c>
      <c r="E62" s="2">
        <v>30</v>
      </c>
      <c r="F62" s="2">
        <v>354.2</v>
      </c>
      <c r="G62" t="str">
        <f>INDEX('Product Master'!$B$2:$B$9,MATCH(C62,'Product Master'!$A$2:$A$9,0))</f>
        <v>Wrist Watch</v>
      </c>
      <c r="H62" t="str">
        <f>INDEX('Product Master'!$C$2:$C$9,MATCH(C62,'Product Master'!$A$2:$A$9,0))</f>
        <v>Accessories</v>
      </c>
      <c r="I62">
        <f>INDEX('Product Master'!$D$2:$D$9,MATCH(C62,'Product Master'!$A$2:$A$9,0))</f>
        <v>40</v>
      </c>
      <c r="J62">
        <f t="shared" si="0"/>
        <v>10626</v>
      </c>
    </row>
    <row r="63" spans="1:10">
      <c r="A63" s="2" t="s">
        <v>62</v>
      </c>
      <c r="B63" s="3">
        <v>46151</v>
      </c>
      <c r="C63" s="2" t="s">
        <v>7</v>
      </c>
      <c r="D63" s="2" t="s">
        <v>16</v>
      </c>
      <c r="E63" s="2">
        <v>10</v>
      </c>
      <c r="F63" s="2">
        <v>690.83</v>
      </c>
      <c r="G63" t="str">
        <f>INDEX('Product Master'!$B$2:$B$9,MATCH(C63,'Product Master'!$A$2:$A$9,0))</f>
        <v>Wrist Watch</v>
      </c>
      <c r="H63" t="str">
        <f>INDEX('Product Master'!$C$2:$C$9,MATCH(C63,'Product Master'!$A$2:$A$9,0))</f>
        <v>Accessories</v>
      </c>
      <c r="I63">
        <f>INDEX('Product Master'!$D$2:$D$9,MATCH(C63,'Product Master'!$A$2:$A$9,0))</f>
        <v>40</v>
      </c>
      <c r="J63">
        <f t="shared" si="0"/>
        <v>6908.3</v>
      </c>
    </row>
    <row r="64" spans="1:10">
      <c r="A64" s="2" t="s">
        <v>64</v>
      </c>
      <c r="B64" s="3">
        <v>46174</v>
      </c>
      <c r="C64" s="2" t="s">
        <v>7</v>
      </c>
      <c r="D64" s="2" t="s">
        <v>21</v>
      </c>
      <c r="E64" s="2">
        <v>15</v>
      </c>
      <c r="F64" s="2">
        <v>594.61</v>
      </c>
      <c r="G64" t="str">
        <f>INDEX('Product Master'!$B$2:$B$9,MATCH(C64,'Product Master'!$A$2:$A$9,0))</f>
        <v>Wrist Watch</v>
      </c>
      <c r="H64" t="str">
        <f>INDEX('Product Master'!$C$2:$C$9,MATCH(C64,'Product Master'!$A$2:$A$9,0))</f>
        <v>Accessories</v>
      </c>
      <c r="I64">
        <f>INDEX('Product Master'!$D$2:$D$9,MATCH(C64,'Product Master'!$A$2:$A$9,0))</f>
        <v>40</v>
      </c>
      <c r="J64">
        <f t="shared" si="0"/>
        <v>8919.15</v>
      </c>
    </row>
    <row r="65" spans="1:10">
      <c r="A65" s="2" t="s">
        <v>72</v>
      </c>
      <c r="B65" s="3">
        <v>46255</v>
      </c>
      <c r="C65" s="2" t="s">
        <v>7</v>
      </c>
      <c r="D65" s="2" t="s">
        <v>12</v>
      </c>
      <c r="E65" s="2">
        <v>10</v>
      </c>
      <c r="F65" s="2">
        <v>68.709999999999994</v>
      </c>
      <c r="G65" t="str">
        <f>INDEX('Product Master'!$B$2:$B$9,MATCH(C65,'Product Master'!$A$2:$A$9,0))</f>
        <v>Wrist Watch</v>
      </c>
      <c r="H65" t="str">
        <f>INDEX('Product Master'!$C$2:$C$9,MATCH(C65,'Product Master'!$A$2:$A$9,0))</f>
        <v>Accessories</v>
      </c>
      <c r="I65">
        <f>INDEX('Product Master'!$D$2:$D$9,MATCH(C65,'Product Master'!$A$2:$A$9,0))</f>
        <v>40</v>
      </c>
      <c r="J65">
        <f t="shared" si="0"/>
        <v>687.09999999999991</v>
      </c>
    </row>
    <row r="66" spans="1:10">
      <c r="A66" s="2" t="s">
        <v>73</v>
      </c>
      <c r="B66" s="3">
        <v>46227</v>
      </c>
      <c r="C66" s="2" t="s">
        <v>7</v>
      </c>
      <c r="D66" s="2" t="s">
        <v>12</v>
      </c>
      <c r="E66" s="2">
        <v>10</v>
      </c>
      <c r="F66" s="2">
        <v>256.69</v>
      </c>
      <c r="G66" t="str">
        <f>INDEX('Product Master'!$B$2:$B$9,MATCH(C66,'Product Master'!$A$2:$A$9,0))</f>
        <v>Wrist Watch</v>
      </c>
      <c r="H66" t="str">
        <f>INDEX('Product Master'!$C$2:$C$9,MATCH(C66,'Product Master'!$A$2:$A$9,0))</f>
        <v>Accessories</v>
      </c>
      <c r="I66">
        <f>INDEX('Product Master'!$D$2:$D$9,MATCH(C66,'Product Master'!$A$2:$A$9,0))</f>
        <v>40</v>
      </c>
      <c r="J66">
        <f t="shared" si="0"/>
        <v>2566.9</v>
      </c>
    </row>
    <row r="67" spans="1:10">
      <c r="A67" s="2" t="s">
        <v>74</v>
      </c>
      <c r="B67" s="3">
        <v>46218</v>
      </c>
      <c r="C67" s="2" t="s">
        <v>7</v>
      </c>
      <c r="D67" s="2" t="s">
        <v>8</v>
      </c>
      <c r="E67" s="2">
        <v>20</v>
      </c>
      <c r="F67" s="2">
        <v>648.21</v>
      </c>
      <c r="G67" t="str">
        <f>INDEX('Product Master'!$B$2:$B$9,MATCH(C67,'Product Master'!$A$2:$A$9,0))</f>
        <v>Wrist Watch</v>
      </c>
      <c r="H67" t="str">
        <f>INDEX('Product Master'!$C$2:$C$9,MATCH(C67,'Product Master'!$A$2:$A$9,0))</f>
        <v>Accessories</v>
      </c>
      <c r="I67">
        <f>INDEX('Product Master'!$D$2:$D$9,MATCH(C67,'Product Master'!$A$2:$A$9,0))</f>
        <v>40</v>
      </c>
      <c r="J67">
        <f t="shared" ref="J67:J81" si="1">E67*F67</f>
        <v>12964.2</v>
      </c>
    </row>
    <row r="68" spans="1:10">
      <c r="A68" s="2" t="s">
        <v>75</v>
      </c>
      <c r="B68" s="3">
        <v>46194</v>
      </c>
      <c r="C68" s="2" t="s">
        <v>7</v>
      </c>
      <c r="D68" s="2" t="s">
        <v>29</v>
      </c>
      <c r="E68" s="2">
        <v>20</v>
      </c>
      <c r="F68" s="2">
        <v>220.84</v>
      </c>
      <c r="G68" t="str">
        <f>INDEX('Product Master'!$B$2:$B$9,MATCH(C68,'Product Master'!$A$2:$A$9,0))</f>
        <v>Wrist Watch</v>
      </c>
      <c r="H68" t="str">
        <f>INDEX('Product Master'!$C$2:$C$9,MATCH(C68,'Product Master'!$A$2:$A$9,0))</f>
        <v>Accessories</v>
      </c>
      <c r="I68">
        <f>INDEX('Product Master'!$D$2:$D$9,MATCH(C68,'Product Master'!$A$2:$A$9,0))</f>
        <v>40</v>
      </c>
      <c r="J68">
        <f t="shared" si="1"/>
        <v>4416.8</v>
      </c>
    </row>
    <row r="69" spans="1:10">
      <c r="A69" s="2" t="s">
        <v>81</v>
      </c>
      <c r="B69" s="3">
        <v>46255</v>
      </c>
      <c r="C69" s="2" t="s">
        <v>7</v>
      </c>
      <c r="D69" s="2" t="s">
        <v>21</v>
      </c>
      <c r="E69" s="2">
        <v>5</v>
      </c>
      <c r="F69" s="2">
        <v>464.93</v>
      </c>
      <c r="G69" t="str">
        <f>INDEX('Product Master'!$B$2:$B$9,MATCH(C69,'Product Master'!$A$2:$A$9,0))</f>
        <v>Wrist Watch</v>
      </c>
      <c r="H69" t="str">
        <f>INDEX('Product Master'!$C$2:$C$9,MATCH(C69,'Product Master'!$A$2:$A$9,0))</f>
        <v>Accessories</v>
      </c>
      <c r="I69">
        <f>INDEX('Product Master'!$D$2:$D$9,MATCH(C69,'Product Master'!$A$2:$A$9,0))</f>
        <v>40</v>
      </c>
      <c r="J69">
        <f t="shared" si="1"/>
        <v>2324.65</v>
      </c>
    </row>
    <row r="70" spans="1:10">
      <c r="A70" s="2" t="s">
        <v>88</v>
      </c>
      <c r="B70" s="3">
        <v>46202</v>
      </c>
      <c r="C70" s="2" t="s">
        <v>7</v>
      </c>
      <c r="D70" s="2" t="s">
        <v>8</v>
      </c>
      <c r="E70" s="2">
        <v>20</v>
      </c>
      <c r="F70" s="2">
        <v>512.82000000000005</v>
      </c>
      <c r="G70" t="str">
        <f>INDEX('Product Master'!$B$2:$B$9,MATCH(C70,'Product Master'!$A$2:$A$9,0))</f>
        <v>Wrist Watch</v>
      </c>
      <c r="H70" t="str">
        <f>INDEX('Product Master'!$C$2:$C$9,MATCH(C70,'Product Master'!$A$2:$A$9,0))</f>
        <v>Accessories</v>
      </c>
      <c r="I70">
        <f>INDEX('Product Master'!$D$2:$D$9,MATCH(C70,'Product Master'!$A$2:$A$9,0))</f>
        <v>40</v>
      </c>
      <c r="J70">
        <f t="shared" si="1"/>
        <v>10256.400000000001</v>
      </c>
    </row>
    <row r="71" spans="1:10">
      <c r="A71" s="2" t="s">
        <v>92</v>
      </c>
      <c r="B71" s="3">
        <v>46148</v>
      </c>
      <c r="C71" s="2" t="s">
        <v>7</v>
      </c>
      <c r="D71" s="2" t="s">
        <v>16</v>
      </c>
      <c r="E71" s="2">
        <v>20</v>
      </c>
      <c r="F71" s="2">
        <v>575.30999999999995</v>
      </c>
      <c r="G71" t="str">
        <f>INDEX('Product Master'!$B$2:$B$9,MATCH(C71,'Product Master'!$A$2:$A$9,0))</f>
        <v>Wrist Watch</v>
      </c>
      <c r="H71" t="str">
        <f>INDEX('Product Master'!$C$2:$C$9,MATCH(C71,'Product Master'!$A$2:$A$9,0))</f>
        <v>Accessories</v>
      </c>
      <c r="I71">
        <f>INDEX('Product Master'!$D$2:$D$9,MATCH(C71,'Product Master'!$A$2:$A$9,0))</f>
        <v>40</v>
      </c>
      <c r="J71">
        <f t="shared" si="1"/>
        <v>11506.199999999999</v>
      </c>
    </row>
    <row r="72" spans="1:10">
      <c r="A72" s="2" t="s">
        <v>96</v>
      </c>
      <c r="B72" s="3">
        <v>46248</v>
      </c>
      <c r="C72" s="2" t="s">
        <v>7</v>
      </c>
      <c r="D72" s="2" t="s">
        <v>16</v>
      </c>
      <c r="E72" s="2">
        <v>50</v>
      </c>
      <c r="F72" s="2">
        <v>86.87</v>
      </c>
      <c r="G72" t="str">
        <f>INDEX('Product Master'!$B$2:$B$9,MATCH(C72,'Product Master'!$A$2:$A$9,0))</f>
        <v>Wrist Watch</v>
      </c>
      <c r="H72" t="str">
        <f>INDEX('Product Master'!$C$2:$C$9,MATCH(C72,'Product Master'!$A$2:$A$9,0))</f>
        <v>Accessories</v>
      </c>
      <c r="I72">
        <f>INDEX('Product Master'!$D$2:$D$9,MATCH(C72,'Product Master'!$A$2:$A$9,0))</f>
        <v>40</v>
      </c>
      <c r="J72">
        <f t="shared" si="1"/>
        <v>4343.5</v>
      </c>
    </row>
    <row r="73" spans="1:10">
      <c r="A73" s="2" t="s">
        <v>97</v>
      </c>
      <c r="B73" s="3">
        <v>46167</v>
      </c>
      <c r="C73" s="2" t="s">
        <v>7</v>
      </c>
      <c r="D73" s="2" t="s">
        <v>8</v>
      </c>
      <c r="E73" s="2">
        <v>25</v>
      </c>
      <c r="F73" s="2">
        <v>233.24</v>
      </c>
      <c r="G73" t="str">
        <f>INDEX('Product Master'!$B$2:$B$9,MATCH(C73,'Product Master'!$A$2:$A$9,0))</f>
        <v>Wrist Watch</v>
      </c>
      <c r="H73" t="str">
        <f>INDEX('Product Master'!$C$2:$C$9,MATCH(C73,'Product Master'!$A$2:$A$9,0))</f>
        <v>Accessories</v>
      </c>
      <c r="I73">
        <f>INDEX('Product Master'!$D$2:$D$9,MATCH(C73,'Product Master'!$A$2:$A$9,0))</f>
        <v>40</v>
      </c>
      <c r="J73">
        <f t="shared" si="1"/>
        <v>5831</v>
      </c>
    </row>
    <row r="74" spans="1:10">
      <c r="A74" s="2" t="s">
        <v>17</v>
      </c>
      <c r="B74" s="3">
        <v>46185</v>
      </c>
      <c r="C74" s="2" t="s">
        <v>18</v>
      </c>
      <c r="D74" s="2" t="s">
        <v>12</v>
      </c>
      <c r="E74" s="2">
        <v>30</v>
      </c>
      <c r="F74" s="2">
        <v>763.97</v>
      </c>
      <c r="G74" t="str">
        <f>INDEX('Product Master'!$B$2:$B$9,MATCH(C74,'Product Master'!$A$2:$A$9,0))</f>
        <v>Formal Shirt</v>
      </c>
      <c r="H74" t="str">
        <f>INDEX('Product Master'!$C$2:$C$9,MATCH(C74,'Product Master'!$A$2:$A$9,0))</f>
        <v>Apparel</v>
      </c>
      <c r="I74">
        <f>INDEX('Product Master'!$D$2:$D$9,MATCH(C74,'Product Master'!$A$2:$A$9,0))</f>
        <v>70</v>
      </c>
      <c r="J74">
        <f t="shared" si="1"/>
        <v>22919.100000000002</v>
      </c>
    </row>
    <row r="75" spans="1:10">
      <c r="A75" s="2" t="s">
        <v>24</v>
      </c>
      <c r="B75" s="3">
        <v>46147</v>
      </c>
      <c r="C75" s="2" t="s">
        <v>18</v>
      </c>
      <c r="D75" s="2" t="s">
        <v>21</v>
      </c>
      <c r="E75" s="2">
        <v>5</v>
      </c>
      <c r="F75" s="2">
        <v>635.19000000000005</v>
      </c>
      <c r="G75" t="str">
        <f>INDEX('Product Master'!$B$2:$B$9,MATCH(C75,'Product Master'!$A$2:$A$9,0))</f>
        <v>Formal Shirt</v>
      </c>
      <c r="H75" t="str">
        <f>INDEX('Product Master'!$C$2:$C$9,MATCH(C75,'Product Master'!$A$2:$A$9,0))</f>
        <v>Apparel</v>
      </c>
      <c r="I75">
        <f>INDEX('Product Master'!$D$2:$D$9,MATCH(C75,'Product Master'!$A$2:$A$9,0))</f>
        <v>70</v>
      </c>
      <c r="J75">
        <f t="shared" si="1"/>
        <v>3175.9500000000003</v>
      </c>
    </row>
    <row r="76" spans="1:10">
      <c r="A76" s="2" t="s">
        <v>49</v>
      </c>
      <c r="B76" s="3">
        <v>46236</v>
      </c>
      <c r="C76" s="2" t="s">
        <v>18</v>
      </c>
      <c r="D76" s="2" t="s">
        <v>12</v>
      </c>
      <c r="E76" s="2">
        <v>10</v>
      </c>
      <c r="F76" s="2">
        <v>724.58</v>
      </c>
      <c r="G76" t="str">
        <f>INDEX('Product Master'!$B$2:$B$9,MATCH(C76,'Product Master'!$A$2:$A$9,0))</f>
        <v>Formal Shirt</v>
      </c>
      <c r="H76" t="str">
        <f>INDEX('Product Master'!$C$2:$C$9,MATCH(C76,'Product Master'!$A$2:$A$9,0))</f>
        <v>Apparel</v>
      </c>
      <c r="I76">
        <f>INDEX('Product Master'!$D$2:$D$9,MATCH(C76,'Product Master'!$A$2:$A$9,0))</f>
        <v>70</v>
      </c>
      <c r="J76">
        <f t="shared" si="1"/>
        <v>7245.8</v>
      </c>
    </row>
    <row r="77" spans="1:10">
      <c r="A77" s="2" t="s">
        <v>51</v>
      </c>
      <c r="B77" s="3">
        <v>46205</v>
      </c>
      <c r="C77" s="2" t="s">
        <v>18</v>
      </c>
      <c r="D77" s="2" t="s">
        <v>29</v>
      </c>
      <c r="E77" s="2">
        <v>10</v>
      </c>
      <c r="F77" s="2">
        <v>450.75</v>
      </c>
      <c r="G77" t="str">
        <f>INDEX('Product Master'!$B$2:$B$9,MATCH(C77,'Product Master'!$A$2:$A$9,0))</f>
        <v>Formal Shirt</v>
      </c>
      <c r="H77" t="str">
        <f>INDEX('Product Master'!$C$2:$C$9,MATCH(C77,'Product Master'!$A$2:$A$9,0))</f>
        <v>Apparel</v>
      </c>
      <c r="I77">
        <f>INDEX('Product Master'!$D$2:$D$9,MATCH(C77,'Product Master'!$A$2:$A$9,0))</f>
        <v>70</v>
      </c>
      <c r="J77">
        <f t="shared" si="1"/>
        <v>4507.5</v>
      </c>
    </row>
    <row r="78" spans="1:10">
      <c r="A78" s="2" t="s">
        <v>65</v>
      </c>
      <c r="B78" s="3">
        <v>46180</v>
      </c>
      <c r="C78" s="2" t="s">
        <v>18</v>
      </c>
      <c r="D78" s="2" t="s">
        <v>16</v>
      </c>
      <c r="E78" s="2">
        <v>5</v>
      </c>
      <c r="F78" s="2">
        <v>459.06</v>
      </c>
      <c r="G78" t="str">
        <f>INDEX('Product Master'!$B$2:$B$9,MATCH(C78,'Product Master'!$A$2:$A$9,0))</f>
        <v>Formal Shirt</v>
      </c>
      <c r="H78" t="str">
        <f>INDEX('Product Master'!$C$2:$C$9,MATCH(C78,'Product Master'!$A$2:$A$9,0))</f>
        <v>Apparel</v>
      </c>
      <c r="I78">
        <f>INDEX('Product Master'!$D$2:$D$9,MATCH(C78,'Product Master'!$A$2:$A$9,0))</f>
        <v>70</v>
      </c>
      <c r="J78">
        <f t="shared" si="1"/>
        <v>2295.3000000000002</v>
      </c>
    </row>
    <row r="79" spans="1:10">
      <c r="A79" s="2" t="s">
        <v>70</v>
      </c>
      <c r="B79" s="3">
        <v>46247</v>
      </c>
      <c r="C79" s="2" t="s">
        <v>18</v>
      </c>
      <c r="D79" s="2" t="s">
        <v>16</v>
      </c>
      <c r="E79" s="2">
        <v>25</v>
      </c>
      <c r="F79" s="2">
        <v>760.29</v>
      </c>
      <c r="G79" t="str">
        <f>INDEX('Product Master'!$B$2:$B$9,MATCH(C79,'Product Master'!$A$2:$A$9,0))</f>
        <v>Formal Shirt</v>
      </c>
      <c r="H79" t="str">
        <f>INDEX('Product Master'!$C$2:$C$9,MATCH(C79,'Product Master'!$A$2:$A$9,0))</f>
        <v>Apparel</v>
      </c>
      <c r="I79">
        <f>INDEX('Product Master'!$D$2:$D$9,MATCH(C79,'Product Master'!$A$2:$A$9,0))</f>
        <v>70</v>
      </c>
      <c r="J79">
        <f t="shared" si="1"/>
        <v>19007.25</v>
      </c>
    </row>
    <row r="80" spans="1:10">
      <c r="A80" s="2" t="s">
        <v>71</v>
      </c>
      <c r="B80" s="3">
        <v>46230</v>
      </c>
      <c r="C80" s="2" t="s">
        <v>18</v>
      </c>
      <c r="D80" s="2" t="s">
        <v>8</v>
      </c>
      <c r="E80" s="2">
        <v>25</v>
      </c>
      <c r="F80" s="2">
        <v>434.76</v>
      </c>
      <c r="G80" t="str">
        <f>INDEX('Product Master'!$B$2:$B$9,MATCH(C80,'Product Master'!$A$2:$A$9,0))</f>
        <v>Formal Shirt</v>
      </c>
      <c r="H80" t="str">
        <f>INDEX('Product Master'!$C$2:$C$9,MATCH(C80,'Product Master'!$A$2:$A$9,0))</f>
        <v>Apparel</v>
      </c>
      <c r="I80">
        <f>INDEX('Product Master'!$D$2:$D$9,MATCH(C80,'Product Master'!$A$2:$A$9,0))</f>
        <v>70</v>
      </c>
      <c r="J80">
        <f t="shared" si="1"/>
        <v>10869</v>
      </c>
    </row>
    <row r="81" spans="1:10">
      <c r="A81" s="2" t="s">
        <v>98</v>
      </c>
      <c r="B81" s="3">
        <v>46216</v>
      </c>
      <c r="C81" s="2" t="s">
        <v>18</v>
      </c>
      <c r="D81" s="2" t="s">
        <v>12</v>
      </c>
      <c r="E81" s="2">
        <v>30</v>
      </c>
      <c r="F81" s="2">
        <v>486.55</v>
      </c>
      <c r="G81" t="str">
        <f>INDEX('Product Master'!$B$2:$B$9,MATCH(C81,'Product Master'!$A$2:$A$9,0))</f>
        <v>Formal Shirt</v>
      </c>
      <c r="H81" t="str">
        <f>INDEX('Product Master'!$C$2:$C$9,MATCH(C81,'Product Master'!$A$2:$A$9,0))</f>
        <v>Apparel</v>
      </c>
      <c r="I81">
        <f>INDEX('Product Master'!$D$2:$D$9,MATCH(C81,'Product Master'!$A$2:$A$9,0))</f>
        <v>70</v>
      </c>
      <c r="J81">
        <f t="shared" si="1"/>
        <v>14596.5</v>
      </c>
    </row>
  </sheetData>
  <sortState ref="A2:F81">
    <sortCondition ref="C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D1" sqref="D1"/>
    </sheetView>
  </sheetViews>
  <sheetFormatPr defaultRowHeight="14.4"/>
  <cols>
    <col min="1" max="1" width="12" customWidth="1"/>
    <col min="2" max="2" width="16" customWidth="1"/>
    <col min="3" max="3" width="13" customWidth="1"/>
    <col min="4" max="4" width="15" customWidth="1"/>
  </cols>
  <sheetData>
    <row r="1" spans="1:4">
      <c r="A1" s="1" t="s">
        <v>2</v>
      </c>
      <c r="B1" s="1" t="s">
        <v>99</v>
      </c>
      <c r="C1" s="1" t="s">
        <v>100</v>
      </c>
      <c r="D1" s="1" t="s">
        <v>101</v>
      </c>
    </row>
    <row r="2" spans="1:4">
      <c r="A2" s="2" t="s">
        <v>20</v>
      </c>
      <c r="B2" s="2" t="s">
        <v>102</v>
      </c>
      <c r="C2" s="2" t="s">
        <v>103</v>
      </c>
      <c r="D2" s="2">
        <v>100</v>
      </c>
    </row>
    <row r="3" spans="1:4">
      <c r="A3" s="2" t="s">
        <v>26</v>
      </c>
      <c r="B3" s="2" t="s">
        <v>104</v>
      </c>
      <c r="C3" s="2" t="s">
        <v>103</v>
      </c>
      <c r="D3" s="2">
        <v>80</v>
      </c>
    </row>
    <row r="4" spans="1:4">
      <c r="A4" s="2" t="s">
        <v>39</v>
      </c>
      <c r="B4" s="2" t="s">
        <v>105</v>
      </c>
      <c r="C4" s="2" t="s">
        <v>106</v>
      </c>
      <c r="D4" s="2">
        <v>60</v>
      </c>
    </row>
    <row r="5" spans="1:4">
      <c r="A5" s="2" t="s">
        <v>10</v>
      </c>
      <c r="B5" s="2" t="s">
        <v>107</v>
      </c>
      <c r="C5" s="2" t="s">
        <v>108</v>
      </c>
      <c r="D5" s="2">
        <v>150</v>
      </c>
    </row>
    <row r="6" spans="1:4">
      <c r="A6" s="2" t="s">
        <v>45</v>
      </c>
      <c r="B6" s="2" t="s">
        <v>109</v>
      </c>
      <c r="C6" s="2" t="s">
        <v>108</v>
      </c>
      <c r="D6" s="2">
        <v>90</v>
      </c>
    </row>
    <row r="7" spans="1:4">
      <c r="A7" s="2" t="s">
        <v>36</v>
      </c>
      <c r="B7" s="2" t="s">
        <v>110</v>
      </c>
      <c r="C7" s="2" t="s">
        <v>108</v>
      </c>
      <c r="D7" s="2">
        <v>120</v>
      </c>
    </row>
    <row r="8" spans="1:4">
      <c r="A8" s="2" t="s">
        <v>7</v>
      </c>
      <c r="B8" s="2" t="s">
        <v>111</v>
      </c>
      <c r="C8" s="2" t="s">
        <v>108</v>
      </c>
      <c r="D8" s="2">
        <v>40</v>
      </c>
    </row>
    <row r="9" spans="1:4">
      <c r="A9" s="2" t="s">
        <v>18</v>
      </c>
      <c r="B9" s="2" t="s">
        <v>112</v>
      </c>
      <c r="C9" s="2" t="s">
        <v>103</v>
      </c>
      <c r="D9" s="2">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election activeCell="B3" sqref="B3"/>
    </sheetView>
  </sheetViews>
  <sheetFormatPr defaultRowHeight="14.4"/>
  <cols>
    <col min="1" max="1" width="15.88671875" bestFit="1" customWidth="1"/>
    <col min="2" max="2" width="15.5546875" bestFit="1" customWidth="1"/>
    <col min="3" max="4" width="9" bestFit="1" customWidth="1"/>
    <col min="5" max="5" width="10.77734375" bestFit="1" customWidth="1"/>
  </cols>
  <sheetData>
    <row r="1" spans="1:5">
      <c r="A1" s="5" t="s">
        <v>114</v>
      </c>
      <c r="B1" s="5" t="s">
        <v>117</v>
      </c>
    </row>
    <row r="2" spans="1:5">
      <c r="A2" s="5" t="s">
        <v>115</v>
      </c>
      <c r="B2" t="s">
        <v>108</v>
      </c>
      <c r="C2" t="s">
        <v>103</v>
      </c>
      <c r="D2" t="s">
        <v>106</v>
      </c>
      <c r="E2" t="s">
        <v>116</v>
      </c>
    </row>
    <row r="3" spans="1:5">
      <c r="A3" s="6" t="s">
        <v>8</v>
      </c>
      <c r="B3" s="4">
        <v>136922.55000000002</v>
      </c>
      <c r="C3" s="4">
        <v>17823.099999999999</v>
      </c>
      <c r="D3" s="4">
        <v>8906.15</v>
      </c>
      <c r="E3" s="4">
        <v>163651.80000000002</v>
      </c>
    </row>
    <row r="4" spans="1:5">
      <c r="A4" s="6" t="s">
        <v>21</v>
      </c>
      <c r="B4" s="4">
        <v>55169.900000000009</v>
      </c>
      <c r="C4" s="4">
        <v>60278.7</v>
      </c>
      <c r="D4" s="4">
        <v>42127.75</v>
      </c>
      <c r="E4" s="4">
        <v>157576.35</v>
      </c>
    </row>
    <row r="5" spans="1:5">
      <c r="A5" s="6" t="s">
        <v>12</v>
      </c>
      <c r="B5" s="4">
        <v>81614.5</v>
      </c>
      <c r="C5" s="4">
        <v>77473.400000000009</v>
      </c>
      <c r="D5" s="4">
        <v>22833.599999999999</v>
      </c>
      <c r="E5" s="4">
        <v>181921.50000000003</v>
      </c>
    </row>
    <row r="6" spans="1:5">
      <c r="A6" s="6" t="s">
        <v>16</v>
      </c>
      <c r="B6" s="4">
        <v>70172.55</v>
      </c>
      <c r="C6" s="4">
        <v>35371.25</v>
      </c>
      <c r="D6" s="4">
        <v>2287.9</v>
      </c>
      <c r="E6" s="4">
        <v>107831.7</v>
      </c>
    </row>
    <row r="7" spans="1:5">
      <c r="A7" s="6" t="s">
        <v>29</v>
      </c>
      <c r="B7" s="4">
        <v>74637.400000000009</v>
      </c>
      <c r="C7" s="4">
        <v>20465.25</v>
      </c>
      <c r="D7" s="4">
        <v>15739.250000000002</v>
      </c>
      <c r="E7" s="4">
        <v>110841.90000000001</v>
      </c>
    </row>
    <row r="8" spans="1:5">
      <c r="A8" s="6" t="s">
        <v>116</v>
      </c>
      <c r="B8" s="4">
        <v>418516.9</v>
      </c>
      <c r="C8" s="4">
        <v>211411.7</v>
      </c>
      <c r="D8" s="4">
        <v>91894.65</v>
      </c>
      <c r="E8" s="4">
        <v>721823.25</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 Orders</vt:lpstr>
      <vt:lpstr>Product Master</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2026-08-31T05:14:38Z</dcterms:created>
  <dcterms:modified xsi:type="dcterms:W3CDTF">2026-08-31T06:08:33Z</dcterms:modified>
</cp:coreProperties>
</file>