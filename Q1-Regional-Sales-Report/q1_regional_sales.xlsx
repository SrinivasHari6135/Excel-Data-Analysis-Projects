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/>
  <mc:AlternateContent xmlns:mc="http://schemas.openxmlformats.org/markup-compatibility/2006">
    <mc:Choice Requires="x15">
      <x15ac:absPath xmlns:x15ac="http://schemas.microsoft.com/office/spreadsheetml/2010/11/ac" url="D:\Data Analytics\Excel\"/>
    </mc:Choice>
  </mc:AlternateContent>
  <xr:revisionPtr revIDLastSave="0" documentId="13_ncr:1_{BE650B97-C14E-4528-B210-A3D9FA590335}" xr6:coauthVersionLast="37" xr6:coauthVersionMax="37" xr10:uidLastSave="{00000000-0000-0000-0000-000000000000}"/>
  <bookViews>
    <workbookView xWindow="0" yWindow="0" windowWidth="23040" windowHeight="8940" activeTab="3" xr2:uid="{00000000-000D-0000-FFFF-FFFF00000000}"/>
  </bookViews>
  <sheets>
    <sheet name="January" sheetId="1" r:id="rId1"/>
    <sheet name="February" sheetId="2" r:id="rId2"/>
    <sheet name="March" sheetId="3" r:id="rId3"/>
    <sheet name="Summary" sheetId="4" r:id="rId4"/>
  </sheets>
  <calcPr calcId="162913"/>
</workbook>
</file>

<file path=xl/calcChain.xml><?xml version="1.0" encoding="utf-8"?>
<calcChain xmlns="http://schemas.openxmlformats.org/spreadsheetml/2006/main">
  <c r="A9" i="4" l="1"/>
  <c r="D3" i="4"/>
  <c r="D4" i="4"/>
  <c r="D5" i="4"/>
  <c r="D2" i="4"/>
  <c r="C3" i="4"/>
  <c r="C4" i="4"/>
  <c r="C5" i="4"/>
  <c r="C2" i="4"/>
  <c r="B3" i="4"/>
  <c r="B4" i="4"/>
  <c r="B5" i="4"/>
  <c r="B2" i="4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" i="2"/>
  <c r="G2" i="3"/>
  <c r="G2" i="1"/>
</calcChain>
</file>

<file path=xl/sharedStrings.xml><?xml version="1.0" encoding="utf-8"?>
<sst xmlns="http://schemas.openxmlformats.org/spreadsheetml/2006/main" count="255" uniqueCount="27">
  <si>
    <t>Date</t>
  </si>
  <si>
    <t>Product</t>
  </si>
  <si>
    <t>Region</t>
  </si>
  <si>
    <t>Sales Rep</t>
  </si>
  <si>
    <t>Units Sold</t>
  </si>
  <si>
    <t>Unit Price</t>
  </si>
  <si>
    <t>Desk Organizer</t>
  </si>
  <si>
    <t>West</t>
  </si>
  <si>
    <t>Meera Das</t>
  </si>
  <si>
    <t>Wireless Charger</t>
  </si>
  <si>
    <t>North</t>
  </si>
  <si>
    <t>Little Nikhat</t>
  </si>
  <si>
    <t>Ergo Mouse Pad</t>
  </si>
  <si>
    <t>Farhan Ali</t>
  </si>
  <si>
    <t>Sticky Notes Pack</t>
  </si>
  <si>
    <t>Notebook Set</t>
  </si>
  <si>
    <t>South</t>
  </si>
  <si>
    <t>Whiteboard Marker Pack</t>
  </si>
  <si>
    <t>Priya Menon</t>
  </si>
  <si>
    <t>East</t>
  </si>
  <si>
    <t>Sandeep Rao</t>
  </si>
  <si>
    <t>Total Sales</t>
  </si>
  <si>
    <t>JAN</t>
  </si>
  <si>
    <t>FEB</t>
  </si>
  <si>
    <t>MAR</t>
  </si>
  <si>
    <t>March 1-15 Total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</si>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</sst>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4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name val="Calibri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E7D32"/>
        <bgColor rgb="FF2E7D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164" fontId="2" fillId="0" borderId="0" xfId="0" applyNumberFormat="1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REGIONAL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Summary!$B$1</c:f>
              <c:strCache>
                <c:ptCount val="1"/>
                <c:pt idx="0">
                  <c:v>JAN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Summary!$A$2:$A$5</c:f>
              <c:strCache>
                <c:ptCount val="4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</c:strCache>
            </c:strRef>
          </c:cat>
          <c:val>
            <c:numRef>
              <c:f>Summary!$B$2:$B$5</c:f>
              <c:numCache>
                <c:formatCode>General</c:formatCode>
                <c:ptCount val="4"/>
                <c:pt idx="0">
                  <c:v>1090.99</c:v>
                </c:pt>
                <c:pt idx="1">
                  <c:v>827.87000000000012</c:v>
                </c:pt>
                <c:pt idx="2">
                  <c:v>1693.4400000000003</c:v>
                </c:pt>
                <c:pt idx="3">
                  <c:v>892.68000000000006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61-4BF8-89BF-F4C750629559}"/>
            </c:ext>
          </c:extLst>
        </c:ser>
        <c:ser>
          <c:idx val="1"/>
          <c:order val="1"/>
          <c:tx>
            <c:strRef>
              <c:f>Summary!$C$1</c:f>
              <c:strCache>
                <c:ptCount val="1"/>
                <c:pt idx="0">
                  <c:v>FEB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Summary!$A$2:$A$5</c:f>
              <c:strCache>
                <c:ptCount val="4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</c:strCache>
            </c:strRef>
          </c:cat>
          <c:val>
            <c:numRef>
              <c:f>Summary!$C$2:$C$5</c:f>
              <c:numCache>
                <c:formatCode>General</c:formatCode>
                <c:ptCount val="4"/>
                <c:pt idx="0">
                  <c:v>809.39</c:v>
                </c:pt>
                <c:pt idx="1">
                  <c:v>1333.54</c:v>
                </c:pt>
                <c:pt idx="2">
                  <c:v>1852.27</c:v>
                </c:pt>
                <c:pt idx="3">
                  <c:v>849.69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A61-4BF8-89BF-F4C750629559}"/>
            </c:ext>
          </c:extLst>
        </c:ser>
        <c:ser>
          <c:idx val="2"/>
          <c:order val="2"/>
          <c:tx>
            <c:strRef>
              <c:f>Summary!$D$1</c:f>
              <c:strCache>
                <c:ptCount val="1"/>
                <c:pt idx="0">
                  <c:v>MAR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Summary!$A$2:$A$5</c:f>
              <c:strCache>
                <c:ptCount val="4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</c:strCache>
            </c:strRef>
          </c:cat>
          <c:val>
            <c:numRef>
              <c:f>Summary!$D$2:$D$5</c:f>
              <c:numCache>
                <c:formatCode>General</c:formatCode>
                <c:ptCount val="4"/>
                <c:pt idx="0">
                  <c:v>909.31</c:v>
                </c:pt>
                <c:pt idx="1">
                  <c:v>502.18999999999994</c:v>
                </c:pt>
                <c:pt idx="2">
                  <c:v>805.62999999999988</c:v>
                </c:pt>
                <c:pt idx="3">
                  <c:v>591.45000000000005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A61-4BF8-89BF-F4C7506295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08262176"/>
        <c:axId val="508270704"/>
      </c:barChart>
      <c:catAx>
        <c:axId val="5082621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8270704"/>
        <c:crosses val="autoZero"/>
        <c:auto val="1"/>
        <c:lblAlgn val="ctr"/>
        <c:lblOffset val="100"/>
        <c:noMultiLvlLbl val="0"/>
      </c:catAx>
      <c:valAx>
        <c:axId val="508270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82621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137160</xdr:colOff>
      <xdr:row>2</xdr:row>
      <xdr:rowOff>91440</xdr:rowOff>
    </xdr:from>
    <xdr:to>
      <xdr:col>13</xdr:col>
      <xdr:colOff>441960</xdr:colOff>
      <xdr:row>17</xdr:row>
      <xdr:rowOff>91440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B9C0360-4033-4B61-9E04-F0BACD516E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7E2DD2E-D5AA-422B-BE60-6E083F444C26}" name="Table1" displayName="Table1" ref="A1:D5" totalsRowShown="0" headerRowDxfId="0">
  <autoFilter ref="A1:D5" xr:uid="{8EA9E5EF-DD6B-4E02-83A7-956E6D4D6A18}"/>
  <tableColumns count="4">
    <tableColumn id="1" xr3:uid="{7E332576-CB50-4B88-A8BF-92F31CF8EDA8}" name="Column1"/>
    <tableColumn id="2" xr3:uid="{F1155DBA-C9E3-477C-9F14-BF9B9094DEBD}" name="JAN">
      <calculatedColumnFormula>SUMIFS(January!$G$2:$G$26,January!$C$2:$C$26,A2)</calculatedColumnFormula>
    </tableColumn>
    <tableColumn id="3" xr3:uid="{87654084-533B-4435-84AF-69C6E23F3604}" name="FEB">
      <calculatedColumnFormula>SUMIFS(February!$G$2:$G$26,February!$C$2:$C$26,A2)</calculatedColumnFormula>
    </tableColumn>
    <tableColumn id="4" xr3:uid="{0565C61D-6B3D-419D-8246-F422FC8EADF7}" name="MAR">
      <calculatedColumnFormula>SUMIFS(March!$G$2:$G$26,March!$C$2:$C$26,A2)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6"/>
  <sheetViews>
    <sheetView workbookViewId="0">
      <selection activeCell="J5" sqref="J5"/>
    </sheetView>
  </sheetViews>
  <sheetFormatPr defaultRowHeight="14.4"/>
  <cols>
    <col min="1" max="1" width="10.33203125" bestFit="1" customWidth="1"/>
    <col min="2" max="2" width="21.5546875" bestFit="1" customWidth="1"/>
    <col min="3" max="3" width="6.77734375" bestFit="1" customWidth="1"/>
    <col min="4" max="4" width="11.5546875" bestFit="1" customWidth="1"/>
    <col min="5" max="5" width="9.44140625" bestFit="1" customWidth="1"/>
    <col min="6" max="6" width="9.109375" bestFit="1" customWidth="1"/>
    <col min="7" max="7" width="9.6640625" bestFit="1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21</v>
      </c>
    </row>
    <row r="2" spans="1:7">
      <c r="A2" s="2">
        <v>46033</v>
      </c>
      <c r="B2" s="3" t="s">
        <v>6</v>
      </c>
      <c r="C2" s="3" t="s">
        <v>7</v>
      </c>
      <c r="D2" s="3" t="s">
        <v>8</v>
      </c>
      <c r="E2" s="3">
        <v>2</v>
      </c>
      <c r="F2" s="3">
        <v>50.17</v>
      </c>
      <c r="G2">
        <f>E2*F2</f>
        <v>100.34</v>
      </c>
    </row>
    <row r="3" spans="1:7">
      <c r="A3" s="2">
        <v>46026</v>
      </c>
      <c r="B3" s="3" t="s">
        <v>9</v>
      </c>
      <c r="C3" s="3" t="s">
        <v>10</v>
      </c>
      <c r="D3" s="3" t="s">
        <v>11</v>
      </c>
      <c r="E3" s="3">
        <v>4</v>
      </c>
      <c r="F3" s="3">
        <v>7.06</v>
      </c>
      <c r="G3">
        <f t="shared" ref="G3:G26" si="0">E3*F3</f>
        <v>28.24</v>
      </c>
    </row>
    <row r="4" spans="1:7">
      <c r="A4" s="2">
        <v>46036</v>
      </c>
      <c r="B4" s="3" t="s">
        <v>12</v>
      </c>
      <c r="C4" s="3" t="s">
        <v>10</v>
      </c>
      <c r="D4" s="3" t="s">
        <v>13</v>
      </c>
      <c r="E4" s="3">
        <v>2</v>
      </c>
      <c r="F4" s="3">
        <v>35.31</v>
      </c>
      <c r="G4">
        <f t="shared" si="0"/>
        <v>70.62</v>
      </c>
    </row>
    <row r="5" spans="1:7">
      <c r="A5" s="2">
        <v>46024</v>
      </c>
      <c r="B5" s="3" t="s">
        <v>14</v>
      </c>
      <c r="C5" s="3" t="s">
        <v>10</v>
      </c>
      <c r="D5" s="3" t="s">
        <v>13</v>
      </c>
      <c r="E5" s="3">
        <v>1</v>
      </c>
      <c r="F5" s="3">
        <v>36.74</v>
      </c>
      <c r="G5">
        <f t="shared" si="0"/>
        <v>36.74</v>
      </c>
    </row>
    <row r="6" spans="1:7">
      <c r="A6" s="2">
        <v>46035</v>
      </c>
      <c r="B6" s="3" t="s">
        <v>15</v>
      </c>
      <c r="C6" s="3" t="s">
        <v>16</v>
      </c>
      <c r="D6" s="3" t="s">
        <v>8</v>
      </c>
      <c r="E6" s="3">
        <v>3</v>
      </c>
      <c r="F6" s="3">
        <v>20.93</v>
      </c>
      <c r="G6">
        <f t="shared" si="0"/>
        <v>62.79</v>
      </c>
    </row>
    <row r="7" spans="1:7">
      <c r="A7" s="2">
        <v>46027</v>
      </c>
      <c r="B7" s="3" t="s">
        <v>14</v>
      </c>
      <c r="C7" s="3" t="s">
        <v>10</v>
      </c>
      <c r="D7" s="3" t="s">
        <v>11</v>
      </c>
      <c r="E7" s="3">
        <v>5</v>
      </c>
      <c r="F7" s="3">
        <v>35.81</v>
      </c>
      <c r="G7">
        <f t="shared" si="0"/>
        <v>179.05</v>
      </c>
    </row>
    <row r="8" spans="1:7">
      <c r="A8" s="2">
        <v>46044</v>
      </c>
      <c r="B8" s="3" t="s">
        <v>6</v>
      </c>
      <c r="C8" s="3" t="s">
        <v>10</v>
      </c>
      <c r="D8" s="3" t="s">
        <v>11</v>
      </c>
      <c r="E8" s="3">
        <v>4</v>
      </c>
      <c r="F8" s="3">
        <v>25.48</v>
      </c>
      <c r="G8">
        <f t="shared" si="0"/>
        <v>101.92</v>
      </c>
    </row>
    <row r="9" spans="1:7">
      <c r="A9" s="2">
        <v>46040</v>
      </c>
      <c r="B9" s="3" t="s">
        <v>17</v>
      </c>
      <c r="C9" s="3" t="s">
        <v>10</v>
      </c>
      <c r="D9" s="3" t="s">
        <v>11</v>
      </c>
      <c r="E9" s="3">
        <v>1</v>
      </c>
      <c r="F9" s="3">
        <v>39.049999999999997</v>
      </c>
      <c r="G9">
        <f t="shared" si="0"/>
        <v>39.049999999999997</v>
      </c>
    </row>
    <row r="10" spans="1:7">
      <c r="A10" s="2">
        <v>46038</v>
      </c>
      <c r="B10" s="3" t="s">
        <v>17</v>
      </c>
      <c r="C10" s="3" t="s">
        <v>7</v>
      </c>
      <c r="D10" s="3" t="s">
        <v>18</v>
      </c>
      <c r="E10" s="3">
        <v>10</v>
      </c>
      <c r="F10" s="3">
        <v>37.21</v>
      </c>
      <c r="G10">
        <f t="shared" si="0"/>
        <v>372.1</v>
      </c>
    </row>
    <row r="11" spans="1:7">
      <c r="A11" s="2">
        <v>46037</v>
      </c>
      <c r="B11" s="3" t="s">
        <v>9</v>
      </c>
      <c r="C11" s="3" t="s">
        <v>19</v>
      </c>
      <c r="D11" s="3" t="s">
        <v>13</v>
      </c>
      <c r="E11" s="3">
        <v>3</v>
      </c>
      <c r="F11" s="3">
        <v>43.44</v>
      </c>
      <c r="G11">
        <f t="shared" si="0"/>
        <v>130.32</v>
      </c>
    </row>
    <row r="12" spans="1:7">
      <c r="A12" s="2">
        <v>46030</v>
      </c>
      <c r="B12" s="3" t="s">
        <v>15</v>
      </c>
      <c r="C12" s="3" t="s">
        <v>19</v>
      </c>
      <c r="D12" s="3" t="s">
        <v>11</v>
      </c>
      <c r="E12" s="3">
        <v>10</v>
      </c>
      <c r="F12" s="3">
        <v>53.13</v>
      </c>
      <c r="G12">
        <f t="shared" si="0"/>
        <v>531.30000000000007</v>
      </c>
    </row>
    <row r="13" spans="1:7">
      <c r="A13" s="2">
        <v>46046</v>
      </c>
      <c r="B13" s="3" t="s">
        <v>12</v>
      </c>
      <c r="C13" s="3" t="s">
        <v>19</v>
      </c>
      <c r="D13" s="3" t="s">
        <v>11</v>
      </c>
      <c r="E13" s="3">
        <v>2</v>
      </c>
      <c r="F13" s="3">
        <v>11.49</v>
      </c>
      <c r="G13">
        <f t="shared" si="0"/>
        <v>22.98</v>
      </c>
    </row>
    <row r="14" spans="1:7">
      <c r="A14" s="2">
        <v>46036</v>
      </c>
      <c r="B14" s="3" t="s">
        <v>6</v>
      </c>
      <c r="C14" s="3" t="s">
        <v>19</v>
      </c>
      <c r="D14" s="3" t="s">
        <v>13</v>
      </c>
      <c r="E14" s="3">
        <v>10</v>
      </c>
      <c r="F14" s="3">
        <v>28.19</v>
      </c>
      <c r="G14">
        <f t="shared" si="0"/>
        <v>281.90000000000003</v>
      </c>
    </row>
    <row r="15" spans="1:7">
      <c r="A15" s="2">
        <v>46044</v>
      </c>
      <c r="B15" s="3" t="s">
        <v>15</v>
      </c>
      <c r="C15" s="3" t="s">
        <v>19</v>
      </c>
      <c r="D15" s="3" t="s">
        <v>18</v>
      </c>
      <c r="E15" s="3">
        <v>6</v>
      </c>
      <c r="F15" s="3">
        <v>37.69</v>
      </c>
      <c r="G15">
        <f t="shared" si="0"/>
        <v>226.14</v>
      </c>
    </row>
    <row r="16" spans="1:7">
      <c r="A16" s="2">
        <v>46041</v>
      </c>
      <c r="B16" s="3" t="s">
        <v>12</v>
      </c>
      <c r="C16" s="3" t="s">
        <v>10</v>
      </c>
      <c r="D16" s="3" t="s">
        <v>8</v>
      </c>
      <c r="E16" s="3">
        <v>5</v>
      </c>
      <c r="F16" s="3">
        <v>31.08</v>
      </c>
      <c r="G16">
        <f t="shared" si="0"/>
        <v>155.39999999999998</v>
      </c>
    </row>
    <row r="17" spans="1:7">
      <c r="A17" s="2">
        <v>46044</v>
      </c>
      <c r="B17" s="3" t="s">
        <v>15</v>
      </c>
      <c r="C17" s="3" t="s">
        <v>10</v>
      </c>
      <c r="D17" s="3" t="s">
        <v>18</v>
      </c>
      <c r="E17" s="3">
        <v>10</v>
      </c>
      <c r="F17" s="3">
        <v>20.65</v>
      </c>
      <c r="G17">
        <f t="shared" si="0"/>
        <v>206.5</v>
      </c>
    </row>
    <row r="18" spans="1:7">
      <c r="A18" s="2">
        <v>46035</v>
      </c>
      <c r="B18" s="3" t="s">
        <v>17</v>
      </c>
      <c r="C18" s="3" t="s">
        <v>19</v>
      </c>
      <c r="D18" s="3" t="s">
        <v>8</v>
      </c>
      <c r="E18" s="3">
        <v>10</v>
      </c>
      <c r="F18" s="3">
        <v>24.55</v>
      </c>
      <c r="G18">
        <f t="shared" si="0"/>
        <v>245.5</v>
      </c>
    </row>
    <row r="19" spans="1:7">
      <c r="A19" s="2">
        <v>46042</v>
      </c>
      <c r="B19" s="3" t="s">
        <v>15</v>
      </c>
      <c r="C19" s="3" t="s">
        <v>7</v>
      </c>
      <c r="D19" s="3" t="s">
        <v>8</v>
      </c>
      <c r="E19" s="3">
        <v>4</v>
      </c>
      <c r="F19" s="3">
        <v>47.25</v>
      </c>
      <c r="G19">
        <f t="shared" si="0"/>
        <v>189</v>
      </c>
    </row>
    <row r="20" spans="1:7">
      <c r="A20" s="2">
        <v>46027</v>
      </c>
      <c r="B20" s="3" t="s">
        <v>17</v>
      </c>
      <c r="C20" s="3" t="s">
        <v>16</v>
      </c>
      <c r="D20" s="3" t="s">
        <v>20</v>
      </c>
      <c r="E20" s="3">
        <v>8</v>
      </c>
      <c r="F20" s="3">
        <v>55.42</v>
      </c>
      <c r="G20">
        <f t="shared" si="0"/>
        <v>443.36</v>
      </c>
    </row>
    <row r="21" spans="1:7">
      <c r="A21" s="2">
        <v>46038</v>
      </c>
      <c r="B21" s="3" t="s">
        <v>15</v>
      </c>
      <c r="C21" s="3" t="s">
        <v>16</v>
      </c>
      <c r="D21" s="3" t="s">
        <v>20</v>
      </c>
      <c r="E21" s="3">
        <v>8</v>
      </c>
      <c r="F21" s="3">
        <v>35.22</v>
      </c>
      <c r="G21">
        <f t="shared" si="0"/>
        <v>281.76</v>
      </c>
    </row>
    <row r="22" spans="1:7">
      <c r="A22" s="2">
        <v>46027</v>
      </c>
      <c r="B22" s="3" t="s">
        <v>12</v>
      </c>
      <c r="C22" s="3" t="s">
        <v>19</v>
      </c>
      <c r="D22" s="3" t="s">
        <v>20</v>
      </c>
      <c r="E22" s="3">
        <v>6</v>
      </c>
      <c r="F22" s="3">
        <v>42.55</v>
      </c>
      <c r="G22">
        <f t="shared" si="0"/>
        <v>255.29999999999998</v>
      </c>
    </row>
    <row r="23" spans="1:7">
      <c r="A23" s="2">
        <v>46035</v>
      </c>
      <c r="B23" s="3" t="s">
        <v>6</v>
      </c>
      <c r="C23" s="3" t="s">
        <v>16</v>
      </c>
      <c r="D23" s="3" t="s">
        <v>8</v>
      </c>
      <c r="E23" s="3">
        <v>3</v>
      </c>
      <c r="F23" s="3">
        <v>13.32</v>
      </c>
      <c r="G23">
        <f t="shared" si="0"/>
        <v>39.96</v>
      </c>
    </row>
    <row r="24" spans="1:7">
      <c r="A24" s="2">
        <v>46044</v>
      </c>
      <c r="B24" s="3" t="s">
        <v>6</v>
      </c>
      <c r="C24" s="3" t="s">
        <v>10</v>
      </c>
      <c r="D24" s="3" t="s">
        <v>20</v>
      </c>
      <c r="E24" s="3">
        <v>3</v>
      </c>
      <c r="F24" s="3">
        <v>19.45</v>
      </c>
      <c r="G24">
        <f t="shared" si="0"/>
        <v>58.349999999999994</v>
      </c>
    </row>
    <row r="25" spans="1:7">
      <c r="A25" s="2">
        <v>46023</v>
      </c>
      <c r="B25" s="3" t="s">
        <v>6</v>
      </c>
      <c r="C25" s="3" t="s">
        <v>7</v>
      </c>
      <c r="D25" s="3" t="s">
        <v>11</v>
      </c>
      <c r="E25" s="3">
        <v>6</v>
      </c>
      <c r="F25" s="3">
        <v>38.54</v>
      </c>
      <c r="G25">
        <f t="shared" si="0"/>
        <v>231.24</v>
      </c>
    </row>
    <row r="26" spans="1:7">
      <c r="A26" s="2">
        <v>46033</v>
      </c>
      <c r="B26" s="3" t="s">
        <v>6</v>
      </c>
      <c r="C26" s="3" t="s">
        <v>10</v>
      </c>
      <c r="D26" s="3" t="s">
        <v>20</v>
      </c>
      <c r="E26" s="3">
        <v>8</v>
      </c>
      <c r="F26" s="3">
        <v>26.89</v>
      </c>
      <c r="G26">
        <f t="shared" si="0"/>
        <v>215.12</v>
      </c>
    </row>
  </sheetData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6"/>
  <sheetViews>
    <sheetView workbookViewId="0">
      <selection sqref="A1:XFD1048576"/>
    </sheetView>
  </sheetViews>
  <sheetFormatPr defaultRowHeight="14.4"/>
  <cols>
    <col min="1" max="1" width="10.33203125" bestFit="1" customWidth="1"/>
    <col min="2" max="2" width="21.5546875" bestFit="1" customWidth="1"/>
    <col min="3" max="3" width="6.77734375" bestFit="1" customWidth="1"/>
    <col min="4" max="4" width="11.5546875" bestFit="1" customWidth="1"/>
    <col min="5" max="5" width="9.44140625" bestFit="1" customWidth="1"/>
    <col min="6" max="6" width="9.109375" bestFit="1" customWidth="1"/>
    <col min="7" max="7" width="9.88671875" bestFit="1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21</v>
      </c>
    </row>
    <row r="2" spans="1:7">
      <c r="A2" s="2">
        <v>46066</v>
      </c>
      <c r="B2" s="3" t="s">
        <v>15</v>
      </c>
      <c r="C2" s="3" t="s">
        <v>7</v>
      </c>
      <c r="D2" s="3" t="s">
        <v>20</v>
      </c>
      <c r="E2" s="3">
        <v>1</v>
      </c>
      <c r="F2" s="3">
        <v>15.48</v>
      </c>
      <c r="G2">
        <f>E2*F2</f>
        <v>15.48</v>
      </c>
    </row>
    <row r="3" spans="1:7">
      <c r="A3" s="2">
        <v>46060</v>
      </c>
      <c r="B3" s="3" t="s">
        <v>12</v>
      </c>
      <c r="C3" s="3" t="s">
        <v>16</v>
      </c>
      <c r="D3" s="3" t="s">
        <v>8</v>
      </c>
      <c r="E3" s="3">
        <v>6</v>
      </c>
      <c r="F3" s="3">
        <v>38.04</v>
      </c>
      <c r="G3">
        <f t="shared" ref="G3:G26" si="0">E3*F3</f>
        <v>228.24</v>
      </c>
    </row>
    <row r="4" spans="1:7">
      <c r="A4" s="2">
        <v>46057</v>
      </c>
      <c r="B4" s="3" t="s">
        <v>15</v>
      </c>
      <c r="C4" s="3" t="s">
        <v>16</v>
      </c>
      <c r="D4" s="3" t="s">
        <v>11</v>
      </c>
      <c r="E4" s="3">
        <v>2</v>
      </c>
      <c r="F4" s="3">
        <v>57.19</v>
      </c>
      <c r="G4">
        <f t="shared" si="0"/>
        <v>114.38</v>
      </c>
    </row>
    <row r="5" spans="1:7">
      <c r="A5" s="2">
        <v>46073</v>
      </c>
      <c r="B5" s="3" t="s">
        <v>15</v>
      </c>
      <c r="C5" s="3" t="s">
        <v>10</v>
      </c>
      <c r="D5" s="3" t="s">
        <v>13</v>
      </c>
      <c r="E5" s="3">
        <v>8</v>
      </c>
      <c r="F5" s="3">
        <v>13.17</v>
      </c>
      <c r="G5">
        <f t="shared" si="0"/>
        <v>105.36</v>
      </c>
    </row>
    <row r="6" spans="1:7">
      <c r="A6" s="2">
        <v>46062</v>
      </c>
      <c r="B6" s="3" t="s">
        <v>9</v>
      </c>
      <c r="C6" s="3" t="s">
        <v>19</v>
      </c>
      <c r="D6" s="3" t="s">
        <v>20</v>
      </c>
      <c r="E6" s="3">
        <v>2</v>
      </c>
      <c r="F6" s="3">
        <v>11.34</v>
      </c>
      <c r="G6">
        <f t="shared" si="0"/>
        <v>22.68</v>
      </c>
    </row>
    <row r="7" spans="1:7">
      <c r="A7" s="2">
        <v>46069</v>
      </c>
      <c r="B7" s="3" t="s">
        <v>12</v>
      </c>
      <c r="C7" s="3" t="s">
        <v>7</v>
      </c>
      <c r="D7" s="3" t="s">
        <v>20</v>
      </c>
      <c r="E7" s="3">
        <v>5</v>
      </c>
      <c r="F7" s="3">
        <v>9.7200000000000006</v>
      </c>
      <c r="G7">
        <f t="shared" si="0"/>
        <v>48.6</v>
      </c>
    </row>
    <row r="8" spans="1:7">
      <c r="A8" s="2">
        <v>46057</v>
      </c>
      <c r="B8" s="3" t="s">
        <v>17</v>
      </c>
      <c r="C8" s="3" t="s">
        <v>19</v>
      </c>
      <c r="D8" s="3" t="s">
        <v>18</v>
      </c>
      <c r="E8" s="3">
        <v>10</v>
      </c>
      <c r="F8" s="3">
        <v>50.59</v>
      </c>
      <c r="G8">
        <f t="shared" si="0"/>
        <v>505.90000000000003</v>
      </c>
    </row>
    <row r="9" spans="1:7">
      <c r="A9" s="2">
        <v>46059</v>
      </c>
      <c r="B9" s="3" t="s">
        <v>14</v>
      </c>
      <c r="C9" s="3" t="s">
        <v>10</v>
      </c>
      <c r="D9" s="3" t="s">
        <v>13</v>
      </c>
      <c r="E9" s="3">
        <v>6</v>
      </c>
      <c r="F9" s="3">
        <v>13.06</v>
      </c>
      <c r="G9">
        <f t="shared" si="0"/>
        <v>78.36</v>
      </c>
    </row>
    <row r="10" spans="1:7">
      <c r="A10" s="2">
        <v>46071</v>
      </c>
      <c r="B10" s="3" t="s">
        <v>15</v>
      </c>
      <c r="C10" s="3" t="s">
        <v>19</v>
      </c>
      <c r="D10" s="3" t="s">
        <v>8</v>
      </c>
      <c r="E10" s="3">
        <v>5</v>
      </c>
      <c r="F10" s="3">
        <v>33.51</v>
      </c>
      <c r="G10">
        <f t="shared" si="0"/>
        <v>167.54999999999998</v>
      </c>
    </row>
    <row r="11" spans="1:7">
      <c r="A11" s="2">
        <v>46059</v>
      </c>
      <c r="B11" s="3" t="s">
        <v>9</v>
      </c>
      <c r="C11" s="3" t="s">
        <v>16</v>
      </c>
      <c r="D11" s="3" t="s">
        <v>11</v>
      </c>
      <c r="E11" s="3">
        <v>6</v>
      </c>
      <c r="F11" s="3">
        <v>40</v>
      </c>
      <c r="G11">
        <f t="shared" si="0"/>
        <v>240</v>
      </c>
    </row>
    <row r="12" spans="1:7">
      <c r="A12" s="2">
        <v>46073</v>
      </c>
      <c r="B12" s="3" t="s">
        <v>6</v>
      </c>
      <c r="C12" s="3" t="s">
        <v>16</v>
      </c>
      <c r="D12" s="3" t="s">
        <v>20</v>
      </c>
      <c r="E12" s="3">
        <v>4</v>
      </c>
      <c r="F12" s="3">
        <v>16</v>
      </c>
      <c r="G12">
        <f t="shared" si="0"/>
        <v>64</v>
      </c>
    </row>
    <row r="13" spans="1:7">
      <c r="A13" s="2">
        <v>46069</v>
      </c>
      <c r="B13" s="3" t="s">
        <v>9</v>
      </c>
      <c r="C13" s="3" t="s">
        <v>10</v>
      </c>
      <c r="D13" s="3" t="s">
        <v>8</v>
      </c>
      <c r="E13" s="3">
        <v>5</v>
      </c>
      <c r="F13" s="3">
        <v>30.97</v>
      </c>
      <c r="G13">
        <f t="shared" si="0"/>
        <v>154.85</v>
      </c>
    </row>
    <row r="14" spans="1:7">
      <c r="A14" s="2">
        <v>46060</v>
      </c>
      <c r="B14" s="3" t="s">
        <v>17</v>
      </c>
      <c r="C14" s="3" t="s">
        <v>19</v>
      </c>
      <c r="D14" s="3" t="s">
        <v>20</v>
      </c>
      <c r="E14" s="3">
        <v>6</v>
      </c>
      <c r="F14" s="3">
        <v>57.53</v>
      </c>
      <c r="G14">
        <f t="shared" si="0"/>
        <v>345.18</v>
      </c>
    </row>
    <row r="15" spans="1:7">
      <c r="A15" s="2">
        <v>46065</v>
      </c>
      <c r="B15" s="3" t="s">
        <v>15</v>
      </c>
      <c r="C15" s="3" t="s">
        <v>16</v>
      </c>
      <c r="D15" s="3" t="s">
        <v>8</v>
      </c>
      <c r="E15" s="3">
        <v>4</v>
      </c>
      <c r="F15" s="3">
        <v>30.85</v>
      </c>
      <c r="G15">
        <f t="shared" si="0"/>
        <v>123.4</v>
      </c>
    </row>
    <row r="16" spans="1:7">
      <c r="A16" s="2">
        <v>46064</v>
      </c>
      <c r="B16" s="3" t="s">
        <v>6</v>
      </c>
      <c r="C16" s="3" t="s">
        <v>7</v>
      </c>
      <c r="D16" s="3" t="s">
        <v>11</v>
      </c>
      <c r="E16" s="3">
        <v>1</v>
      </c>
      <c r="F16" s="3">
        <v>31.37</v>
      </c>
      <c r="G16">
        <f t="shared" si="0"/>
        <v>31.37</v>
      </c>
    </row>
    <row r="17" spans="1:7">
      <c r="A17" s="2">
        <v>46074</v>
      </c>
      <c r="B17" s="3" t="s">
        <v>9</v>
      </c>
      <c r="C17" s="3" t="s">
        <v>10</v>
      </c>
      <c r="D17" s="3" t="s">
        <v>8</v>
      </c>
      <c r="E17" s="3">
        <v>8</v>
      </c>
      <c r="F17" s="3">
        <v>48.03</v>
      </c>
      <c r="G17">
        <f t="shared" si="0"/>
        <v>384.24</v>
      </c>
    </row>
    <row r="18" spans="1:7">
      <c r="A18" s="2">
        <v>46078</v>
      </c>
      <c r="B18" s="3" t="s">
        <v>6</v>
      </c>
      <c r="C18" s="3" t="s">
        <v>7</v>
      </c>
      <c r="D18" s="3" t="s">
        <v>13</v>
      </c>
      <c r="E18" s="3">
        <v>8</v>
      </c>
      <c r="F18" s="3">
        <v>48.4</v>
      </c>
      <c r="G18">
        <f t="shared" si="0"/>
        <v>387.2</v>
      </c>
    </row>
    <row r="19" spans="1:7">
      <c r="A19" s="2">
        <v>46064</v>
      </c>
      <c r="B19" s="3" t="s">
        <v>15</v>
      </c>
      <c r="C19" s="3" t="s">
        <v>7</v>
      </c>
      <c r="D19" s="3" t="s">
        <v>20</v>
      </c>
      <c r="E19" s="3">
        <v>8</v>
      </c>
      <c r="F19" s="3">
        <v>45.88</v>
      </c>
      <c r="G19">
        <f t="shared" si="0"/>
        <v>367.04</v>
      </c>
    </row>
    <row r="20" spans="1:7">
      <c r="A20" s="2">
        <v>46056</v>
      </c>
      <c r="B20" s="3" t="s">
        <v>17</v>
      </c>
      <c r="C20" s="3" t="s">
        <v>16</v>
      </c>
      <c r="D20" s="3" t="s">
        <v>13</v>
      </c>
      <c r="E20" s="3">
        <v>3</v>
      </c>
      <c r="F20" s="3">
        <v>6.52</v>
      </c>
      <c r="G20">
        <f t="shared" si="0"/>
        <v>19.559999999999999</v>
      </c>
    </row>
    <row r="21" spans="1:7">
      <c r="A21" s="2">
        <v>46072</v>
      </c>
      <c r="B21" s="3" t="s">
        <v>12</v>
      </c>
      <c r="C21" s="3" t="s">
        <v>16</v>
      </c>
      <c r="D21" s="3" t="s">
        <v>11</v>
      </c>
      <c r="E21" s="3">
        <v>10</v>
      </c>
      <c r="F21" s="3">
        <v>41.15</v>
      </c>
      <c r="G21">
        <f t="shared" si="0"/>
        <v>411.5</v>
      </c>
    </row>
    <row r="22" spans="1:7">
      <c r="A22" s="2">
        <v>46065</v>
      </c>
      <c r="B22" s="3" t="s">
        <v>6</v>
      </c>
      <c r="C22" s="3" t="s">
        <v>16</v>
      </c>
      <c r="D22" s="3" t="s">
        <v>8</v>
      </c>
      <c r="E22" s="3">
        <v>1</v>
      </c>
      <c r="F22" s="3">
        <v>48.96</v>
      </c>
      <c r="G22">
        <f t="shared" si="0"/>
        <v>48.96</v>
      </c>
    </row>
    <row r="23" spans="1:7">
      <c r="A23" s="2">
        <v>46077</v>
      </c>
      <c r="B23" s="3" t="s">
        <v>17</v>
      </c>
      <c r="C23" s="3" t="s">
        <v>10</v>
      </c>
      <c r="D23" s="3" t="s">
        <v>11</v>
      </c>
      <c r="E23" s="3">
        <v>3</v>
      </c>
      <c r="F23" s="3">
        <v>28.86</v>
      </c>
      <c r="G23">
        <f t="shared" si="0"/>
        <v>86.58</v>
      </c>
    </row>
    <row r="24" spans="1:7">
      <c r="A24" s="2">
        <v>46081</v>
      </c>
      <c r="B24" s="3" t="s">
        <v>6</v>
      </c>
      <c r="C24" s="3" t="s">
        <v>16</v>
      </c>
      <c r="D24" s="3" t="s">
        <v>8</v>
      </c>
      <c r="E24" s="3">
        <v>5</v>
      </c>
      <c r="F24" s="3">
        <v>16.7</v>
      </c>
      <c r="G24">
        <f t="shared" si="0"/>
        <v>83.5</v>
      </c>
    </row>
    <row r="25" spans="1:7">
      <c r="A25" s="2">
        <v>46070</v>
      </c>
      <c r="B25" s="3" t="s">
        <v>6</v>
      </c>
      <c r="C25" s="3" t="s">
        <v>19</v>
      </c>
      <c r="D25" s="3" t="s">
        <v>18</v>
      </c>
      <c r="E25" s="3">
        <v>8</v>
      </c>
      <c r="F25" s="3">
        <v>50.88</v>
      </c>
      <c r="G25">
        <f t="shared" si="0"/>
        <v>407.04</v>
      </c>
    </row>
    <row r="26" spans="1:7">
      <c r="A26" s="2">
        <v>46055</v>
      </c>
      <c r="B26" s="3" t="s">
        <v>17</v>
      </c>
      <c r="C26" s="3" t="s">
        <v>19</v>
      </c>
      <c r="D26" s="3" t="s">
        <v>20</v>
      </c>
      <c r="E26" s="3">
        <v>8</v>
      </c>
      <c r="F26" s="3">
        <v>50.49</v>
      </c>
      <c r="G26">
        <f t="shared" si="0"/>
        <v>403.92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6"/>
  <sheetViews>
    <sheetView workbookViewId="0">
      <selection sqref="A1:XFD1048576"/>
    </sheetView>
  </sheetViews>
  <sheetFormatPr defaultRowHeight="14.4"/>
  <cols>
    <col min="1" max="1" width="10.33203125" bestFit="1" customWidth="1"/>
    <col min="2" max="2" width="21.5546875" bestFit="1" customWidth="1"/>
    <col min="3" max="3" width="6.77734375" bestFit="1" customWidth="1"/>
    <col min="4" max="4" width="11.5546875" bestFit="1" customWidth="1"/>
    <col min="5" max="5" width="9.44140625" bestFit="1" customWidth="1"/>
    <col min="6" max="6" width="9.109375" bestFit="1" customWidth="1"/>
    <col min="7" max="7" width="9.88671875" bestFit="1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21</v>
      </c>
    </row>
    <row r="2" spans="1:7">
      <c r="A2" s="2">
        <v>46098</v>
      </c>
      <c r="B2" s="3" t="s">
        <v>6</v>
      </c>
      <c r="C2" s="3" t="s">
        <v>16</v>
      </c>
      <c r="D2" s="3" t="s">
        <v>11</v>
      </c>
      <c r="E2" s="3">
        <v>1</v>
      </c>
      <c r="F2" s="3">
        <v>53</v>
      </c>
      <c r="G2">
        <f>E2*F2</f>
        <v>53</v>
      </c>
    </row>
    <row r="3" spans="1:7">
      <c r="A3" s="2">
        <v>46106</v>
      </c>
      <c r="B3" s="3" t="s">
        <v>6</v>
      </c>
      <c r="C3" s="3" t="s">
        <v>10</v>
      </c>
      <c r="D3" s="3" t="s">
        <v>13</v>
      </c>
      <c r="E3" s="3">
        <v>3</v>
      </c>
      <c r="F3" s="3">
        <v>12.79</v>
      </c>
      <c r="G3">
        <f t="shared" ref="G3:G26" si="0">E3*F3</f>
        <v>38.369999999999997</v>
      </c>
    </row>
    <row r="4" spans="1:7">
      <c r="A4" s="2">
        <v>46101</v>
      </c>
      <c r="B4" s="3" t="s">
        <v>17</v>
      </c>
      <c r="C4" s="3" t="s">
        <v>10</v>
      </c>
      <c r="D4" s="3" t="s">
        <v>11</v>
      </c>
      <c r="E4" s="3">
        <v>1</v>
      </c>
      <c r="F4" s="3">
        <v>22.93</v>
      </c>
      <c r="G4">
        <f t="shared" si="0"/>
        <v>22.93</v>
      </c>
    </row>
    <row r="5" spans="1:7">
      <c r="A5" s="2">
        <v>46098</v>
      </c>
      <c r="B5" s="3" t="s">
        <v>14</v>
      </c>
      <c r="C5" s="3" t="s">
        <v>7</v>
      </c>
      <c r="D5" s="3" t="s">
        <v>8</v>
      </c>
      <c r="E5" s="3">
        <v>1</v>
      </c>
      <c r="F5" s="3">
        <v>18.670000000000002</v>
      </c>
      <c r="G5">
        <f t="shared" si="0"/>
        <v>18.670000000000002</v>
      </c>
    </row>
    <row r="6" spans="1:7">
      <c r="A6" s="2">
        <v>46090</v>
      </c>
      <c r="B6" s="3" t="s">
        <v>15</v>
      </c>
      <c r="C6" s="3" t="s">
        <v>10</v>
      </c>
      <c r="D6" s="3" t="s">
        <v>11</v>
      </c>
      <c r="E6" s="3">
        <v>10</v>
      </c>
      <c r="F6" s="3">
        <v>35.9</v>
      </c>
      <c r="G6">
        <f t="shared" si="0"/>
        <v>359</v>
      </c>
    </row>
    <row r="7" spans="1:7">
      <c r="A7" s="2">
        <v>46106</v>
      </c>
      <c r="B7" s="3" t="s">
        <v>15</v>
      </c>
      <c r="C7" s="3" t="s">
        <v>7</v>
      </c>
      <c r="D7" s="3" t="s">
        <v>18</v>
      </c>
      <c r="E7" s="3">
        <v>4</v>
      </c>
      <c r="F7" s="3">
        <v>43.1</v>
      </c>
      <c r="G7">
        <f t="shared" si="0"/>
        <v>172.4</v>
      </c>
    </row>
    <row r="8" spans="1:7">
      <c r="A8" s="2">
        <v>46096</v>
      </c>
      <c r="B8" s="3" t="s">
        <v>14</v>
      </c>
      <c r="C8" s="3" t="s">
        <v>7</v>
      </c>
      <c r="D8" s="3" t="s">
        <v>11</v>
      </c>
      <c r="E8" s="3">
        <v>4</v>
      </c>
      <c r="F8" s="3">
        <v>43.46</v>
      </c>
      <c r="G8">
        <f t="shared" si="0"/>
        <v>173.84</v>
      </c>
    </row>
    <row r="9" spans="1:7">
      <c r="A9" s="2">
        <v>46090</v>
      </c>
      <c r="B9" s="3" t="s">
        <v>14</v>
      </c>
      <c r="C9" s="3" t="s">
        <v>16</v>
      </c>
      <c r="D9" s="3" t="s">
        <v>20</v>
      </c>
      <c r="E9" s="3">
        <v>3</v>
      </c>
      <c r="F9" s="3">
        <v>27.92</v>
      </c>
      <c r="G9">
        <f t="shared" si="0"/>
        <v>83.76</v>
      </c>
    </row>
    <row r="10" spans="1:7">
      <c r="A10" s="2">
        <v>46094</v>
      </c>
      <c r="B10" s="3" t="s">
        <v>12</v>
      </c>
      <c r="C10" s="3" t="s">
        <v>19</v>
      </c>
      <c r="D10" s="3" t="s">
        <v>8</v>
      </c>
      <c r="E10" s="3">
        <v>4</v>
      </c>
      <c r="F10" s="3">
        <v>28.56</v>
      </c>
      <c r="G10">
        <f t="shared" si="0"/>
        <v>114.24</v>
      </c>
    </row>
    <row r="11" spans="1:7">
      <c r="A11" s="2">
        <v>46088</v>
      </c>
      <c r="B11" s="3" t="s">
        <v>17</v>
      </c>
      <c r="C11" s="3" t="s">
        <v>19</v>
      </c>
      <c r="D11" s="3" t="s">
        <v>8</v>
      </c>
      <c r="E11" s="3">
        <v>3</v>
      </c>
      <c r="F11" s="3">
        <v>56.67</v>
      </c>
      <c r="G11">
        <f t="shared" si="0"/>
        <v>170.01</v>
      </c>
    </row>
    <row r="12" spans="1:7">
      <c r="A12" s="2">
        <v>46102</v>
      </c>
      <c r="B12" s="3" t="s">
        <v>17</v>
      </c>
      <c r="C12" s="3" t="s">
        <v>19</v>
      </c>
      <c r="D12" s="3" t="s">
        <v>13</v>
      </c>
      <c r="E12" s="3">
        <v>5</v>
      </c>
      <c r="F12" s="3">
        <v>53.56</v>
      </c>
      <c r="G12">
        <f t="shared" si="0"/>
        <v>267.8</v>
      </c>
    </row>
    <row r="13" spans="1:7">
      <c r="A13" s="2">
        <v>46096</v>
      </c>
      <c r="B13" s="3" t="s">
        <v>6</v>
      </c>
      <c r="C13" s="3" t="s">
        <v>10</v>
      </c>
      <c r="D13" s="3" t="s">
        <v>20</v>
      </c>
      <c r="E13" s="3">
        <v>10</v>
      </c>
      <c r="F13" s="3">
        <v>13.95</v>
      </c>
      <c r="G13">
        <f t="shared" si="0"/>
        <v>139.5</v>
      </c>
    </row>
    <row r="14" spans="1:7">
      <c r="A14" s="2">
        <v>46103</v>
      </c>
      <c r="B14" s="3" t="s">
        <v>6</v>
      </c>
      <c r="C14" s="3" t="s">
        <v>16</v>
      </c>
      <c r="D14" s="3" t="s">
        <v>20</v>
      </c>
      <c r="E14" s="3">
        <v>8</v>
      </c>
      <c r="F14" s="3">
        <v>23.65</v>
      </c>
      <c r="G14">
        <f t="shared" si="0"/>
        <v>189.2</v>
      </c>
    </row>
    <row r="15" spans="1:7">
      <c r="A15" s="2">
        <v>46088</v>
      </c>
      <c r="B15" s="3" t="s">
        <v>9</v>
      </c>
      <c r="C15" s="3" t="s">
        <v>19</v>
      </c>
      <c r="D15" s="3" t="s">
        <v>8</v>
      </c>
      <c r="E15" s="3">
        <v>6</v>
      </c>
      <c r="F15" s="3">
        <v>6.07</v>
      </c>
      <c r="G15">
        <f t="shared" si="0"/>
        <v>36.42</v>
      </c>
    </row>
    <row r="16" spans="1:7">
      <c r="A16" s="2">
        <v>46099</v>
      </c>
      <c r="B16" s="3" t="s">
        <v>12</v>
      </c>
      <c r="C16" s="3" t="s">
        <v>7</v>
      </c>
      <c r="D16" s="3" t="s">
        <v>8</v>
      </c>
      <c r="E16" s="3">
        <v>8</v>
      </c>
      <c r="F16" s="3">
        <v>23.23</v>
      </c>
      <c r="G16">
        <f t="shared" si="0"/>
        <v>185.84</v>
      </c>
    </row>
    <row r="17" spans="1:7">
      <c r="A17" s="2">
        <v>46101</v>
      </c>
      <c r="B17" s="3" t="s">
        <v>9</v>
      </c>
      <c r="C17" s="3" t="s">
        <v>10</v>
      </c>
      <c r="D17" s="3" t="s">
        <v>8</v>
      </c>
      <c r="E17" s="3">
        <v>4</v>
      </c>
      <c r="F17" s="3">
        <v>58.44</v>
      </c>
      <c r="G17">
        <f t="shared" si="0"/>
        <v>233.76</v>
      </c>
    </row>
    <row r="18" spans="1:7">
      <c r="A18" s="2">
        <v>46085</v>
      </c>
      <c r="B18" s="3" t="s">
        <v>15</v>
      </c>
      <c r="C18" s="3" t="s">
        <v>19</v>
      </c>
      <c r="D18" s="3" t="s">
        <v>18</v>
      </c>
      <c r="E18" s="3">
        <v>1</v>
      </c>
      <c r="F18" s="3">
        <v>54.82</v>
      </c>
      <c r="G18">
        <f t="shared" si="0"/>
        <v>54.82</v>
      </c>
    </row>
    <row r="19" spans="1:7">
      <c r="A19" s="2">
        <v>46087</v>
      </c>
      <c r="B19" s="3" t="s">
        <v>9</v>
      </c>
      <c r="C19" s="3" t="s">
        <v>16</v>
      </c>
      <c r="D19" s="3" t="s">
        <v>20</v>
      </c>
      <c r="E19" s="3">
        <v>5</v>
      </c>
      <c r="F19" s="3">
        <v>27.33</v>
      </c>
      <c r="G19">
        <f t="shared" si="0"/>
        <v>136.64999999999998</v>
      </c>
    </row>
    <row r="20" spans="1:7">
      <c r="A20" s="2">
        <v>46099</v>
      </c>
      <c r="B20" s="3" t="s">
        <v>14</v>
      </c>
      <c r="C20" s="3" t="s">
        <v>7</v>
      </c>
      <c r="D20" s="3" t="s">
        <v>18</v>
      </c>
      <c r="E20" s="3">
        <v>2</v>
      </c>
      <c r="F20" s="3">
        <v>20.350000000000001</v>
      </c>
      <c r="G20">
        <f t="shared" si="0"/>
        <v>40.700000000000003</v>
      </c>
    </row>
    <row r="21" spans="1:7">
      <c r="A21" s="2">
        <v>46107</v>
      </c>
      <c r="B21" s="3" t="s">
        <v>17</v>
      </c>
      <c r="C21" s="3" t="s">
        <v>16</v>
      </c>
      <c r="D21" s="3" t="s">
        <v>20</v>
      </c>
      <c r="E21" s="3">
        <v>2</v>
      </c>
      <c r="F21" s="3">
        <v>19.79</v>
      </c>
      <c r="G21">
        <f t="shared" si="0"/>
        <v>39.58</v>
      </c>
    </row>
    <row r="22" spans="1:7">
      <c r="A22" s="2">
        <v>46082</v>
      </c>
      <c r="B22" s="3" t="s">
        <v>17</v>
      </c>
      <c r="C22" s="3" t="s">
        <v>10</v>
      </c>
      <c r="D22" s="3" t="s">
        <v>18</v>
      </c>
      <c r="E22" s="3">
        <v>2</v>
      </c>
      <c r="F22" s="3">
        <v>38.450000000000003</v>
      </c>
      <c r="G22">
        <f t="shared" si="0"/>
        <v>76.900000000000006</v>
      </c>
    </row>
    <row r="23" spans="1:7">
      <c r="A23" s="2">
        <v>46089</v>
      </c>
      <c r="B23" s="3" t="s">
        <v>15</v>
      </c>
      <c r="C23" s="3" t="s">
        <v>19</v>
      </c>
      <c r="D23" s="3" t="s">
        <v>8</v>
      </c>
      <c r="E23" s="3">
        <v>10</v>
      </c>
      <c r="F23" s="3">
        <v>5.64</v>
      </c>
      <c r="G23">
        <f t="shared" si="0"/>
        <v>56.4</v>
      </c>
    </row>
    <row r="24" spans="1:7">
      <c r="A24" s="2">
        <v>46099</v>
      </c>
      <c r="B24" s="3" t="s">
        <v>12</v>
      </c>
      <c r="C24" s="3" t="s">
        <v>19</v>
      </c>
      <c r="D24" s="3" t="s">
        <v>11</v>
      </c>
      <c r="E24" s="3">
        <v>3</v>
      </c>
      <c r="F24" s="3">
        <v>7.38</v>
      </c>
      <c r="G24">
        <f t="shared" si="0"/>
        <v>22.14</v>
      </c>
    </row>
    <row r="25" spans="1:7">
      <c r="A25" s="2">
        <v>46104</v>
      </c>
      <c r="B25" s="3" t="s">
        <v>6</v>
      </c>
      <c r="C25" s="3" t="s">
        <v>10</v>
      </c>
      <c r="D25" s="3" t="s">
        <v>13</v>
      </c>
      <c r="E25" s="3">
        <v>5</v>
      </c>
      <c r="F25" s="3">
        <v>7.77</v>
      </c>
      <c r="G25">
        <f t="shared" si="0"/>
        <v>38.849999999999994</v>
      </c>
    </row>
    <row r="26" spans="1:7">
      <c r="A26" s="2">
        <v>46088</v>
      </c>
      <c r="B26" s="3" t="s">
        <v>9</v>
      </c>
      <c r="C26" s="3" t="s">
        <v>19</v>
      </c>
      <c r="D26" s="3" t="s">
        <v>11</v>
      </c>
      <c r="E26" s="3">
        <v>4</v>
      </c>
      <c r="F26" s="3">
        <v>20.95</v>
      </c>
      <c r="G26">
        <f t="shared" si="0"/>
        <v>83.8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9"/>
  <sheetViews>
    <sheetView tabSelected="1" workbookViewId="0">
      <selection activeCell="B16" sqref="B16"/>
    </sheetView>
  </sheetViews>
  <sheetFormatPr defaultRowHeight="14.4"/>
  <cols>
    <col min="1" max="1" width="10.44140625" customWidth="1"/>
  </cols>
  <sheetData>
    <row r="1" spans="1:4">
      <c r="A1" t="s">
        <v>26</v>
      </c>
      <c r="B1" s="4" t="s">
        <v>22</v>
      </c>
      <c r="C1" s="4" t="s">
        <v>23</v>
      </c>
      <c r="D1" s="4" t="s">
        <v>24</v>
      </c>
    </row>
    <row r="2" spans="1:4">
      <c r="A2" t="s">
        <v>10</v>
      </c>
      <c r="B2">
        <f>SUMIFS(January!$G$2:$G$26,January!$C$2:$C$26,A2)</f>
        <v>1090.99</v>
      </c>
      <c r="C2">
        <f>SUMIFS(February!$G$2:$G$26,February!$C$2:$C$26,A2)</f>
        <v>809.39</v>
      </c>
      <c r="D2">
        <f>SUMIFS(March!$G$2:$G$26,March!$C$2:$C$26,A2)</f>
        <v>909.31</v>
      </c>
    </row>
    <row r="3" spans="1:4">
      <c r="A3" t="s">
        <v>16</v>
      </c>
      <c r="B3">
        <f>SUMIFS(January!$G$2:$G$26,January!$C$2:$C$26,A3)</f>
        <v>827.87000000000012</v>
      </c>
      <c r="C3">
        <f>SUMIFS(February!$G$2:$G$26,February!$C$2:$C$26,A3)</f>
        <v>1333.54</v>
      </c>
      <c r="D3">
        <f>SUMIFS(March!$G$2:$G$26,March!$C$2:$C$26,A3)</f>
        <v>502.18999999999994</v>
      </c>
    </row>
    <row r="4" spans="1:4">
      <c r="A4" t="s">
        <v>19</v>
      </c>
      <c r="B4">
        <f>SUMIFS(January!$G$2:$G$26,January!$C$2:$C$26,A4)</f>
        <v>1693.4400000000003</v>
      </c>
      <c r="C4">
        <f>SUMIFS(February!$G$2:$G$26,February!$C$2:$C$26,A4)</f>
        <v>1852.27</v>
      </c>
      <c r="D4">
        <f>SUMIFS(March!$G$2:$G$26,March!$C$2:$C$26,A4)</f>
        <v>805.62999999999988</v>
      </c>
    </row>
    <row r="5" spans="1:4">
      <c r="A5" t="s">
        <v>7</v>
      </c>
      <c r="B5">
        <f>SUMIFS(January!$G$2:$G$26,January!$C$2:$C$26,A5)</f>
        <v>892.68000000000006</v>
      </c>
      <c r="C5">
        <f>SUMIFS(February!$G$2:$G$26,February!$C$2:$C$26,A5)</f>
        <v>849.69</v>
      </c>
      <c r="D5">
        <f>SUMIFS(March!$G$2:$G$26,March!$C$2:$C$26,A5)</f>
        <v>591.45000000000005</v>
      </c>
    </row>
    <row r="8" spans="1:4">
      <c r="A8" s="4" t="s">
        <v>25</v>
      </c>
    </row>
    <row r="9" spans="1:4">
      <c r="A9">
        <f>SUMIFS(March!G2:G26,March!A2:A26,"&gt;="&amp;DATE(2026,3,1),March!A2:A26,"&lt;="&amp;DATE(2026,3,15))</f>
        <v>1485.34</v>
      </c>
    </row>
  </sheetData>
  <pageMargins left="0.75" right="0.75" top="1" bottom="1" header="0.5" footer="0.5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January</vt:lpstr>
      <vt:lpstr>February</vt:lpstr>
      <vt:lpstr>March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2026-08-30T06:00:10Z</dcterms:created>
  <dcterms:modified xsi:type="dcterms:W3CDTF">2026-08-30T06:54:31Z</dcterms:modified>
</cp:coreProperties>
</file>